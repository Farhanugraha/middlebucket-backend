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B4A3FAD-91AD-4830-9E20-E4B55E6CC108}" xr6:coauthVersionLast="47" xr6:coauthVersionMax="47" xr10:uidLastSave="{00000000-0000-0000-0000-000000000000}"/>
  <bookViews>
    <workbookView xWindow="-108" yWindow="-108" windowWidth="23256" windowHeight="13896" xr2:uid="{3C754D39-BD6A-43AF-B35F-06BDF75AD436}"/>
  </bookViews>
  <sheets>
    <sheet name="REKAP" sheetId="1" r:id="rId1"/>
  </sheets>
  <definedNames>
    <definedName name="_xlnm.Print_Area" localSheetId="0">REKAP!$A$1:$O$277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Q136" i="1"/>
</calcChain>
</file>

<file path=xl/sharedStrings.xml><?xml version="1.0" encoding="utf-8"?>
<sst xmlns="http://schemas.openxmlformats.org/spreadsheetml/2006/main" count="316" uniqueCount="155">
  <si>
    <t>Profile Debitur 2C Bulan lalu bayar s.d tanggal 31 tapi bulan ini belum geser berdasarkan Keterangan Kurang Bayar per CLQ</t>
  </si>
  <si>
    <t>CLQ</t>
  </si>
  <si>
    <t>1. Angsuran/Kurang Bayar &lt; 50rb</t>
  </si>
  <si>
    <t>2. Angsuran/Kurang Bayar 50rb-100rb</t>
  </si>
  <si>
    <t>3. Angsuran/Kurang Bayar 101rb-250rb</t>
  </si>
  <si>
    <t>4. Angsuran/Kurang Bayar 251rb-500rb</t>
  </si>
  <si>
    <t>5. Kurang Bayar &lt;50% Angsuran</t>
  </si>
  <si>
    <t>6. Kurang Bayar &gt;50% Angsuran</t>
  </si>
  <si>
    <t>Total</t>
  </si>
  <si>
    <t>Deb</t>
  </si>
  <si>
    <t>Pokok</t>
  </si>
  <si>
    <t>RLQ JAKARTA 1</t>
  </si>
  <si>
    <t>CILEGON</t>
  </si>
  <si>
    <t>CILEGON 1</t>
  </si>
  <si>
    <t>CILEGON 2</t>
  </si>
  <si>
    <t>CILEGON 3</t>
  </si>
  <si>
    <t>DKI JAKARTA &amp; TANGERANG</t>
  </si>
  <si>
    <t>DKI JAKARTA</t>
  </si>
  <si>
    <t>TANGERANG 1</t>
  </si>
  <si>
    <t>TANGERANG 2</t>
  </si>
  <si>
    <t>TANGERANG 3</t>
  </si>
  <si>
    <t>TANGERANG 4</t>
  </si>
  <si>
    <t>RLQ JAKARTA 2</t>
  </si>
  <si>
    <t>BOGOR</t>
  </si>
  <si>
    <t>BOGOR 1</t>
  </si>
  <si>
    <t>BOGOR 2</t>
  </si>
  <si>
    <t>BOGOR 3</t>
  </si>
  <si>
    <t>CIBUBUR</t>
  </si>
  <si>
    <t>CIBUBUR 1</t>
  </si>
  <si>
    <t>CIBUBUR 2</t>
  </si>
  <si>
    <t>SUKABUMI</t>
  </si>
  <si>
    <t>CIANJUR</t>
  </si>
  <si>
    <t>SUKABUMI 1</t>
  </si>
  <si>
    <t>SUKABUMI 2</t>
  </si>
  <si>
    <t>SUKABUMI 3</t>
  </si>
  <si>
    <t>RLQ JATENG DIY</t>
  </si>
  <si>
    <t>JATENG DIY 1</t>
  </si>
  <si>
    <t>KUDUS</t>
  </si>
  <si>
    <t>SEMARANG</t>
  </si>
  <si>
    <t>SOLO RAYA</t>
  </si>
  <si>
    <t>YOGYAKARTA</t>
  </si>
  <si>
    <t>JATENG DIY 2</t>
  </si>
  <si>
    <t>KENDAL</t>
  </si>
  <si>
    <t>PEKALONGAN</t>
  </si>
  <si>
    <t>PURWOKERTO</t>
  </si>
  <si>
    <t>TEGAL</t>
  </si>
  <si>
    <t>RLQ JATIM BALI NUSRA</t>
  </si>
  <si>
    <t>BALI NUSRA</t>
  </si>
  <si>
    <t>DENPASAR 1</t>
  </si>
  <si>
    <t>DENPASAR 2</t>
  </si>
  <si>
    <t>KUPANG</t>
  </si>
  <si>
    <t>MATARAM</t>
  </si>
  <si>
    <t>JATIM 1</t>
  </si>
  <si>
    <t>BANGKALAN</t>
  </si>
  <si>
    <t>MOJOKERTO</t>
  </si>
  <si>
    <t>SIDOARJO 1</t>
  </si>
  <si>
    <t>SIDOARJO 2</t>
  </si>
  <si>
    <t>SURABAYA</t>
  </si>
  <si>
    <t>JATIM 2</t>
  </si>
  <si>
    <t>GRESIK 1</t>
  </si>
  <si>
    <t>GRESIK 2</t>
  </si>
  <si>
    <t>KEDIRI</t>
  </si>
  <si>
    <t>LAMONGAN</t>
  </si>
  <si>
    <t>MADIUN</t>
  </si>
  <si>
    <t>JATIM 3</t>
  </si>
  <si>
    <t>BANYUWANGI</t>
  </si>
  <si>
    <t>JEMBER 1</t>
  </si>
  <si>
    <t>JEMBER 2</t>
  </si>
  <si>
    <t>MALANG 1</t>
  </si>
  <si>
    <t>MALANG 2</t>
  </si>
  <si>
    <t>RLQ JAWA BARAT 1</t>
  </si>
  <si>
    <t>BEKASI</t>
  </si>
  <si>
    <t>BEKASI 1</t>
  </si>
  <si>
    <t>BEKASI 2</t>
  </si>
  <si>
    <t>BEKASI 3</t>
  </si>
  <si>
    <t>CIKARANG</t>
  </si>
  <si>
    <t>CIKARANG 1</t>
  </si>
  <si>
    <t>CIKARANG 2</t>
  </si>
  <si>
    <t>KARAWANG</t>
  </si>
  <si>
    <t>KARAWANG 1</t>
  </si>
  <si>
    <t>KARAWANG 2</t>
  </si>
  <si>
    <t>TAMBUN</t>
  </si>
  <si>
    <t>TAMBUN 1</t>
  </si>
  <si>
    <t>TAMBUN 2</t>
  </si>
  <si>
    <t>TAMBUN 3</t>
  </si>
  <si>
    <t>RLQ JAWA BARAT 2</t>
  </si>
  <si>
    <t>BANDUNG</t>
  </si>
  <si>
    <t>BANDUNG 1</t>
  </si>
  <si>
    <t>BANDUNG 2</t>
  </si>
  <si>
    <t>BANDUNG 3</t>
  </si>
  <si>
    <t>BANDUNG 4</t>
  </si>
  <si>
    <t>CIREBON</t>
  </si>
  <si>
    <t>CIREBON 1</t>
  </si>
  <si>
    <t>CIREBON 2</t>
  </si>
  <si>
    <t>CIREBON 3</t>
  </si>
  <si>
    <t>CIREBON 4</t>
  </si>
  <si>
    <t>RLQ KALIMANTAN</t>
  </si>
  <si>
    <t>KALIMANTAN TIMUR &amp; UTARA</t>
  </si>
  <si>
    <t>BALIKPAPAN</t>
  </si>
  <si>
    <t>SAMARINDA</t>
  </si>
  <si>
    <t>KALIMANTAN BARAT</t>
  </si>
  <si>
    <t>PONTIANAK 1</t>
  </si>
  <si>
    <t>PONTIANAK 2</t>
  </si>
  <si>
    <t>KALIMANTAN TENGAH &amp; SELATAN</t>
  </si>
  <si>
    <t>BANJARMASIN 1</t>
  </si>
  <si>
    <t>BANJARMASIN 2</t>
  </si>
  <si>
    <t>BANJARMASIN 3</t>
  </si>
  <si>
    <t>PALANGKARAYA</t>
  </si>
  <si>
    <t>RLQ SULAMPUA</t>
  </si>
  <si>
    <t>SULAWESI 1</t>
  </si>
  <si>
    <t>BULUKUMBA</t>
  </si>
  <si>
    <t>MAKASSAR</t>
  </si>
  <si>
    <t>MAMUJU</t>
  </si>
  <si>
    <t>PALOPO</t>
  </si>
  <si>
    <t>PANAKUKANG</t>
  </si>
  <si>
    <t>PARE PARE</t>
  </si>
  <si>
    <t>MAPUA</t>
  </si>
  <si>
    <t>AMBORNATE</t>
  </si>
  <si>
    <t>JAYAPURA</t>
  </si>
  <si>
    <t>SULAWESI 2</t>
  </si>
  <si>
    <t>GORONTALO</t>
  </si>
  <si>
    <t>KENDARI</t>
  </si>
  <si>
    <t>MANADO</t>
  </si>
  <si>
    <t>PALU</t>
  </si>
  <si>
    <t>RLQ SUMATERA 1</t>
  </si>
  <si>
    <t>SUMATERA 1.1</t>
  </si>
  <si>
    <t>SUMUT 1</t>
  </si>
  <si>
    <t>SUMUT 2</t>
  </si>
  <si>
    <t>SUMUT 3</t>
  </si>
  <si>
    <t>SUMATERA 1.2</t>
  </si>
  <si>
    <t>KEPRI 1</t>
  </si>
  <si>
    <t>KEPRI 2</t>
  </si>
  <si>
    <t>SUMATERA 1.3</t>
  </si>
  <si>
    <t>RIAU 1</t>
  </si>
  <si>
    <t>RIAU 2</t>
  </si>
  <si>
    <t>SUMBAR</t>
  </si>
  <si>
    <t>RLQ SUMATERA 2</t>
  </si>
  <si>
    <t>SUMATERA 2.1</t>
  </si>
  <si>
    <t>PALEMBANG 1</t>
  </si>
  <si>
    <t>PALEMBANG 2</t>
  </si>
  <si>
    <t>PANGKALPINANG</t>
  </si>
  <si>
    <t>SUMATERA 2.2</t>
  </si>
  <si>
    <t>BANDAR LAMPUNG</t>
  </si>
  <si>
    <t>BENGKULU</t>
  </si>
  <si>
    <t>JAMBI</t>
  </si>
  <si>
    <t>Grand Total</t>
  </si>
  <si>
    <t>Profile Debitur Bulan lalu bayar s.d tanggal 31 tapi bulan ini belum geser berdasarkan Last Payment Per CLQ</t>
  </si>
  <si>
    <t>Tanggal Bayar Bulan lalu</t>
  </si>
  <si>
    <t>1-5</t>
  </si>
  <si>
    <t>6-10</t>
  </si>
  <si>
    <t>11-15</t>
  </si>
  <si>
    <t>16-20</t>
  </si>
  <si>
    <t>21-25</t>
  </si>
  <si>
    <t>26-31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</si>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</sst>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3" fontId="3" fillId="3" borderId="10" xfId="0" applyNumberFormat="1" applyFont="1" applyFill="1" applyBorder="1" applyAlignment="1">
      <alignment horizontal="right" vertical="center"/>
    </xf>
    <xf numFmtId="3" fontId="3" fillId="3" borderId="10" xfId="0" applyNumberFormat="1" applyFont="1" applyFill="1" applyBorder="1" applyAlignment="1">
      <alignment vertical="center"/>
    </xf>
    <xf numFmtId="3" fontId="3" fillId="3" borderId="11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3" fontId="2" fillId="4" borderId="10" xfId="0" applyNumberFormat="1" applyFont="1" applyFill="1" applyBorder="1" applyAlignment="1">
      <alignment horizontal="right" vertical="center"/>
    </xf>
    <xf numFmtId="3" fontId="2" fillId="4" borderId="10" xfId="0" applyNumberFormat="1" applyFont="1" applyFill="1" applyBorder="1" applyAlignment="1">
      <alignment vertical="center"/>
    </xf>
    <xf numFmtId="3" fontId="2" fillId="4" borderId="11" xfId="0" applyNumberFormat="1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3" fontId="0" fillId="5" borderId="10" xfId="0" applyNumberFormat="1" applyFill="1" applyBorder="1" applyAlignment="1">
      <alignment horizontal="right" vertical="center"/>
    </xf>
    <xf numFmtId="3" fontId="0" fillId="5" borderId="10" xfId="0" applyNumberFormat="1" applyFill="1" applyBorder="1" applyAlignment="1">
      <alignment vertical="center"/>
    </xf>
    <xf numFmtId="3" fontId="0" fillId="5" borderId="11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3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5" xfId="0" quotePrefix="1" applyFont="1" applyFill="1" applyBorder="1" applyAlignment="1">
      <alignment horizontal="center" vertical="center" wrapText="1"/>
    </xf>
    <xf numFmtId="0" fontId="2" fillId="2" borderId="16" xfId="0" quotePrefix="1" applyFont="1" applyFill="1" applyBorder="1" applyAlignment="1">
      <alignment horizontal="center" vertical="center" wrapText="1"/>
    </xf>
    <xf numFmtId="16" fontId="2" fillId="2" borderId="15" xfId="0" quotePrefix="1" applyNumberFormat="1" applyFont="1" applyFill="1" applyBorder="1" applyAlignment="1">
      <alignment horizontal="center" vertical="center" wrapText="1"/>
    </xf>
    <xf numFmtId="0" fontId="2" fillId="2" borderId="17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</cellXfs>
  <cellStyles count="2">
    <cellStyle name="Comma 2" xfId="1" xr:uid="{FECAD2E2-434F-4D17-9589-14B08D75CB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0958-C9E4-4315-81C4-CD2614B9154F}">
  <sheetPr>
    <pageSetUpPr fitToPage="1"/>
  </sheetPr>
  <dimension ref="A1:Q277"/>
  <sheetViews>
    <sheetView showGridLines="0" tabSelected="1" view="pageBreakPreview" zoomScaleNormal="70" zoomScaleSheetLayoutView="100" workbookViewId="0">
      <selection activeCell="J10" sqref="J10"/>
    </sheetView>
  </sheetViews>
  <sheetFormatPr defaultColWidth="8.88671875" defaultRowHeight="14.4" x14ac:dyDescent="0.3"/>
  <cols>
    <col min="1" max="1" width="29.77734375" style="1" bestFit="1" customWidth="1"/>
    <col min="2" max="2" width="7.44140625" style="1" customWidth="1"/>
    <col min="3" max="3" width="14.77734375" style="1" bestFit="1" customWidth="1"/>
    <col min="4" max="4" width="7.109375" style="1" customWidth="1"/>
    <col min="5" max="5" width="14.77734375" style="1" bestFit="1" customWidth="1"/>
    <col min="6" max="6" width="6.21875" style="1" customWidth="1"/>
    <col min="7" max="7" width="16.21875" style="1" customWidth="1"/>
    <col min="8" max="8" width="7" style="1" customWidth="1"/>
    <col min="9" max="9" width="16.21875" style="1" customWidth="1"/>
    <col min="10" max="10" width="5.33203125" style="1" customWidth="1"/>
    <col min="11" max="11" width="15.33203125" style="1" customWidth="1"/>
    <col min="12" max="12" width="8.33203125" style="1" customWidth="1"/>
    <col min="13" max="13" width="15.77734375" style="1" bestFit="1" customWidth="1"/>
    <col min="14" max="14" width="7" style="1" bestFit="1" customWidth="1"/>
    <col min="15" max="15" width="17.21875" style="1" customWidth="1"/>
    <col min="16" max="16" width="8.88671875" style="1"/>
    <col min="17" max="17" width="15.77734375" style="1" bestFit="1" customWidth="1"/>
    <col min="18" max="18" width="14.77734375" style="1" bestFit="1" customWidth="1"/>
    <col min="19" max="16384" width="8.88671875" style="1"/>
  </cols>
  <sheetData>
    <row r="1" spans="1:15" ht="25.9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8.8" customHeight="1" x14ac:dyDescent="0.3">
      <c r="A2" s="35" t="s">
        <v>1</v>
      </c>
      <c r="B2" s="37" t="s">
        <v>2</v>
      </c>
      <c r="C2" s="38"/>
      <c r="D2" s="37" t="s">
        <v>3</v>
      </c>
      <c r="E2" s="38"/>
      <c r="F2" s="37" t="s">
        <v>4</v>
      </c>
      <c r="G2" s="38"/>
      <c r="H2" s="37" t="s">
        <v>5</v>
      </c>
      <c r="I2" s="38"/>
      <c r="J2" s="37" t="s">
        <v>6</v>
      </c>
      <c r="K2" s="38"/>
      <c r="L2" s="37" t="s">
        <v>7</v>
      </c>
      <c r="M2" s="38"/>
      <c r="N2" s="37" t="s">
        <v>8</v>
      </c>
      <c r="O2" s="39"/>
    </row>
    <row r="3" spans="1:15" x14ac:dyDescent="0.3">
      <c r="A3" s="36"/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3" t="s">
        <v>10</v>
      </c>
    </row>
    <row r="4" spans="1:15" x14ac:dyDescent="0.3">
      <c r="A4" s="4" t="s">
        <v>11</v>
      </c>
      <c r="B4" s="5">
        <v>1445</v>
      </c>
      <c r="C4" s="5">
        <v>176056961257.69</v>
      </c>
      <c r="D4" s="6">
        <v>39</v>
      </c>
      <c r="E4" s="6">
        <v>1284683686</v>
      </c>
      <c r="F4" s="6">
        <v>186</v>
      </c>
      <c r="G4" s="6">
        <v>16626010277.080002</v>
      </c>
      <c r="H4" s="6">
        <v>222</v>
      </c>
      <c r="I4" s="6">
        <v>14205084450.67</v>
      </c>
      <c r="J4" s="6">
        <v>18</v>
      </c>
      <c r="K4" s="6">
        <v>5487138169</v>
      </c>
      <c r="L4" s="6">
        <v>1423</v>
      </c>
      <c r="M4" s="6">
        <v>146141803655.82001</v>
      </c>
      <c r="N4" s="6">
        <v>3333</v>
      </c>
      <c r="O4" s="7">
        <v>359801681496.25995</v>
      </c>
    </row>
    <row r="5" spans="1:15" x14ac:dyDescent="0.3">
      <c r="A5" s="8" t="s">
        <v>12</v>
      </c>
      <c r="B5" s="9">
        <v>894</v>
      </c>
      <c r="C5" s="9">
        <v>97290683567</v>
      </c>
      <c r="D5" s="10">
        <v>13</v>
      </c>
      <c r="E5" s="10">
        <v>582830000</v>
      </c>
      <c r="F5" s="10">
        <v>52</v>
      </c>
      <c r="G5" s="10">
        <v>4649911657</v>
      </c>
      <c r="H5" s="10">
        <v>81</v>
      </c>
      <c r="I5" s="10">
        <v>6995933340</v>
      </c>
      <c r="J5" s="10">
        <v>1</v>
      </c>
      <c r="K5" s="10">
        <v>113751112</v>
      </c>
      <c r="L5" s="10">
        <v>422</v>
      </c>
      <c r="M5" s="10">
        <v>46688202378.119995</v>
      </c>
      <c r="N5" s="10">
        <f>SUM(N6,N6)</f>
        <v>328</v>
      </c>
      <c r="O5" s="11">
        <v>156321312054.12</v>
      </c>
    </row>
    <row r="6" spans="1:15" x14ac:dyDescent="0.3">
      <c r="A6" s="12" t="s">
        <v>13</v>
      </c>
      <c r="B6" s="13">
        <v>114</v>
      </c>
      <c r="C6" s="13">
        <v>12953950360</v>
      </c>
      <c r="D6" s="14">
        <v>1</v>
      </c>
      <c r="E6" s="14">
        <v>8248611</v>
      </c>
      <c r="F6" s="14">
        <v>5</v>
      </c>
      <c r="G6" s="14">
        <v>197069177</v>
      </c>
      <c r="H6" s="14">
        <v>10</v>
      </c>
      <c r="I6" s="14">
        <v>882837591</v>
      </c>
      <c r="J6" s="14"/>
      <c r="K6" s="14"/>
      <c r="L6" s="14">
        <v>34</v>
      </c>
      <c r="M6" s="14">
        <v>1109045402</v>
      </c>
      <c r="N6" s="14">
        <v>164</v>
      </c>
      <c r="O6" s="15">
        <v>15151151141</v>
      </c>
    </row>
    <row r="7" spans="1:15" x14ac:dyDescent="0.3">
      <c r="A7" s="12" t="s">
        <v>14</v>
      </c>
      <c r="B7" s="13">
        <v>351</v>
      </c>
      <c r="C7" s="13">
        <v>38012845512</v>
      </c>
      <c r="D7" s="14">
        <v>8</v>
      </c>
      <c r="E7" s="14">
        <v>91597085</v>
      </c>
      <c r="F7" s="14">
        <v>14</v>
      </c>
      <c r="G7" s="14">
        <v>978471232</v>
      </c>
      <c r="H7" s="14">
        <v>11</v>
      </c>
      <c r="I7" s="14">
        <v>161817456</v>
      </c>
      <c r="J7" s="14"/>
      <c r="K7" s="14"/>
      <c r="L7" s="14">
        <v>100</v>
      </c>
      <c r="M7" s="14">
        <v>17702318408.119999</v>
      </c>
      <c r="N7" s="14">
        <v>484</v>
      </c>
      <c r="O7" s="15">
        <v>56947049693.120003</v>
      </c>
    </row>
    <row r="8" spans="1:15" x14ac:dyDescent="0.3">
      <c r="A8" s="8" t="s">
        <v>16</v>
      </c>
      <c r="B8" s="9">
        <v>551</v>
      </c>
      <c r="C8" s="9">
        <v>78766277690.690002</v>
      </c>
      <c r="D8" s="10">
        <v>26</v>
      </c>
      <c r="E8" s="10">
        <v>701853686</v>
      </c>
      <c r="F8" s="10">
        <v>134</v>
      </c>
      <c r="G8" s="10">
        <v>11976098620.080002</v>
      </c>
      <c r="H8" s="10">
        <v>141</v>
      </c>
      <c r="I8" s="10">
        <v>7209151110.6700001</v>
      </c>
      <c r="J8" s="10">
        <v>17</v>
      </c>
      <c r="K8" s="10">
        <v>5373387057</v>
      </c>
      <c r="L8" s="10">
        <v>1001</v>
      </c>
      <c r="M8" s="10">
        <v>99453601277.699997</v>
      </c>
      <c r="N8" s="10">
        <v>1870</v>
      </c>
      <c r="O8" s="11">
        <v>203480369442.14001</v>
      </c>
    </row>
    <row r="9" spans="1:15" x14ac:dyDescent="0.3">
      <c r="A9" s="12" t="s">
        <v>17</v>
      </c>
      <c r="B9" s="13">
        <v>46</v>
      </c>
      <c r="C9" s="13">
        <v>16298585012</v>
      </c>
      <c r="D9" s="14"/>
      <c r="E9" s="14"/>
      <c r="F9" s="14">
        <v>9</v>
      </c>
      <c r="G9" s="14">
        <v>1252718097</v>
      </c>
      <c r="H9" s="14">
        <v>10</v>
      </c>
      <c r="I9" s="14">
        <v>1633957623</v>
      </c>
      <c r="J9" s="14">
        <v>5</v>
      </c>
      <c r="K9" s="14">
        <v>2574194941</v>
      </c>
      <c r="L9" s="14">
        <v>100</v>
      </c>
      <c r="M9" s="14">
        <v>32126961453</v>
      </c>
      <c r="N9" s="14">
        <v>170</v>
      </c>
      <c r="O9" s="15">
        <v>53886417126</v>
      </c>
    </row>
    <row r="10" spans="1:15" x14ac:dyDescent="0.3">
      <c r="A10" s="12" t="s">
        <v>18</v>
      </c>
      <c r="B10" s="13">
        <v>88</v>
      </c>
      <c r="C10" s="13">
        <v>13069934364.690001</v>
      </c>
      <c r="D10" s="14">
        <v>6</v>
      </c>
      <c r="E10" s="14">
        <v>62374950</v>
      </c>
      <c r="F10" s="14">
        <v>9</v>
      </c>
      <c r="G10" s="14">
        <v>238624042</v>
      </c>
      <c r="H10" s="14">
        <v>19</v>
      </c>
      <c r="I10" s="14">
        <v>584712421</v>
      </c>
      <c r="J10" s="14">
        <v>4</v>
      </c>
      <c r="K10" s="14">
        <v>250918845</v>
      </c>
      <c r="L10" s="14">
        <v>144</v>
      </c>
      <c r="M10" s="14">
        <v>10170275221</v>
      </c>
      <c r="N10" s="14">
        <v>270</v>
      </c>
      <c r="O10" s="15">
        <v>24376839843.690002</v>
      </c>
    </row>
    <row r="11" spans="1:15" x14ac:dyDescent="0.3">
      <c r="A11" s="12" t="s">
        <v>19</v>
      </c>
      <c r="B11" s="13">
        <v>106</v>
      </c>
      <c r="C11" s="13">
        <v>7384732603</v>
      </c>
      <c r="D11" s="14">
        <v>1</v>
      </c>
      <c r="E11" s="14">
        <v>66724114</v>
      </c>
      <c r="F11" s="14">
        <v>9</v>
      </c>
      <c r="G11" s="14">
        <v>197317771</v>
      </c>
      <c r="H11" s="14">
        <v>34</v>
      </c>
      <c r="I11" s="14">
        <v>705762423</v>
      </c>
      <c r="J11" s="14"/>
      <c r="K11" s="14"/>
      <c r="L11" s="14">
        <v>197</v>
      </c>
      <c r="M11" s="14">
        <v>10694511195.049999</v>
      </c>
      <c r="N11" s="14">
        <v>347</v>
      </c>
      <c r="O11" s="15">
        <v>19049048106.049999</v>
      </c>
    </row>
    <row r="12" spans="1:15" x14ac:dyDescent="0.3">
      <c r="A12" s="12" t="s">
        <v>20</v>
      </c>
      <c r="B12" s="13">
        <v>224</v>
      </c>
      <c r="C12" s="13">
        <v>25829193891</v>
      </c>
      <c r="D12" s="14">
        <v>14</v>
      </c>
      <c r="E12" s="14">
        <v>539722889</v>
      </c>
      <c r="F12" s="14">
        <v>76</v>
      </c>
      <c r="G12" s="14">
        <v>6422471064</v>
      </c>
      <c r="H12" s="14">
        <v>60</v>
      </c>
      <c r="I12" s="14">
        <v>2546037529.6700001</v>
      </c>
      <c r="J12" s="14">
        <v>2</v>
      </c>
      <c r="K12" s="14">
        <v>133116300</v>
      </c>
      <c r="L12" s="14">
        <v>358</v>
      </c>
      <c r="M12" s="14">
        <v>21043593897.169998</v>
      </c>
      <c r="N12" s="14">
        <v>734</v>
      </c>
      <c r="O12" s="15">
        <v>56514135570.839996</v>
      </c>
    </row>
    <row r="13" spans="1:15" x14ac:dyDescent="0.3">
      <c r="A13" s="12" t="s">
        <v>21</v>
      </c>
      <c r="B13" s="13">
        <v>87</v>
      </c>
      <c r="C13" s="13">
        <v>16183831820</v>
      </c>
      <c r="D13" s="14">
        <v>5</v>
      </c>
      <c r="E13" s="14">
        <v>33031733</v>
      </c>
      <c r="F13" s="14">
        <v>31</v>
      </c>
      <c r="G13" s="14">
        <v>3864967646.0799999</v>
      </c>
      <c r="H13" s="14">
        <v>18</v>
      </c>
      <c r="I13" s="14">
        <v>1738681114</v>
      </c>
      <c r="J13" s="14">
        <v>6</v>
      </c>
      <c r="K13" s="14">
        <v>2415156971</v>
      </c>
      <c r="L13" s="14">
        <v>202</v>
      </c>
      <c r="M13" s="14">
        <v>25418259511.48</v>
      </c>
      <c r="N13" s="14">
        <v>349</v>
      </c>
      <c r="O13" s="15">
        <v>49653928795.560005</v>
      </c>
    </row>
    <row r="14" spans="1:15" x14ac:dyDescent="0.3">
      <c r="A14" s="4" t="s">
        <v>22</v>
      </c>
      <c r="B14" s="5">
        <v>1617</v>
      </c>
      <c r="C14" s="5">
        <v>310065809266.94006</v>
      </c>
      <c r="D14" s="6">
        <v>16</v>
      </c>
      <c r="E14" s="6">
        <v>725080321</v>
      </c>
      <c r="F14" s="6">
        <v>205</v>
      </c>
      <c r="G14" s="6">
        <v>20934207594</v>
      </c>
      <c r="H14" s="6">
        <v>250</v>
      </c>
      <c r="I14" s="6">
        <v>29950007221.190002</v>
      </c>
      <c r="J14" s="6">
        <v>47</v>
      </c>
      <c r="K14" s="6">
        <v>12665806233.110001</v>
      </c>
      <c r="L14" s="6">
        <v>1389</v>
      </c>
      <c r="M14" s="6">
        <v>155485858301.37003</v>
      </c>
      <c r="N14" s="6">
        <v>3524</v>
      </c>
      <c r="O14" s="7">
        <v>529826768937.61005</v>
      </c>
    </row>
    <row r="15" spans="1:15" x14ac:dyDescent="0.3">
      <c r="A15" s="8" t="s">
        <v>23</v>
      </c>
      <c r="B15" s="9">
        <v>664</v>
      </c>
      <c r="C15" s="9">
        <v>157934003999.17999</v>
      </c>
      <c r="D15" s="10">
        <v>6</v>
      </c>
      <c r="E15" s="10">
        <v>295576310</v>
      </c>
      <c r="F15" s="10">
        <v>66</v>
      </c>
      <c r="G15" s="10">
        <v>7155909570</v>
      </c>
      <c r="H15" s="10">
        <v>117</v>
      </c>
      <c r="I15" s="10">
        <v>15570685592.190001</v>
      </c>
      <c r="J15" s="10">
        <v>31</v>
      </c>
      <c r="K15" s="10">
        <v>7294630171.1099997</v>
      </c>
      <c r="L15" s="10">
        <v>583</v>
      </c>
      <c r="M15" s="10">
        <v>77845614450.850006</v>
      </c>
      <c r="N15" s="10">
        <v>1467</v>
      </c>
      <c r="O15" s="11">
        <v>266096420093.33002</v>
      </c>
    </row>
    <row r="16" spans="1:15" x14ac:dyDescent="0.3">
      <c r="A16" s="12" t="s">
        <v>24</v>
      </c>
      <c r="B16" s="13">
        <v>116</v>
      </c>
      <c r="C16" s="13">
        <v>34794464105</v>
      </c>
      <c r="D16" s="14">
        <v>1</v>
      </c>
      <c r="E16" s="14">
        <v>91831017</v>
      </c>
      <c r="F16" s="14">
        <v>9</v>
      </c>
      <c r="G16" s="14">
        <v>571777882</v>
      </c>
      <c r="H16" s="14">
        <v>14</v>
      </c>
      <c r="I16" s="14">
        <v>2745045093</v>
      </c>
      <c r="J16" s="14">
        <v>4</v>
      </c>
      <c r="K16" s="14">
        <v>1236190128</v>
      </c>
      <c r="L16" s="14">
        <v>133</v>
      </c>
      <c r="M16" s="14">
        <v>21745384596.510002</v>
      </c>
      <c r="N16" s="14">
        <v>277</v>
      </c>
      <c r="O16" s="15">
        <v>61184692821.510002</v>
      </c>
    </row>
    <row r="17" spans="1:15" x14ac:dyDescent="0.3">
      <c r="A17" s="12" t="s">
        <v>25</v>
      </c>
      <c r="B17" s="13">
        <v>133</v>
      </c>
      <c r="C17" s="13">
        <v>22669985552.150002</v>
      </c>
      <c r="D17" s="14">
        <v>2</v>
      </c>
      <c r="E17" s="14">
        <v>89632278</v>
      </c>
      <c r="F17" s="14">
        <v>12</v>
      </c>
      <c r="G17" s="14">
        <v>1313169508</v>
      </c>
      <c r="H17" s="14">
        <v>32</v>
      </c>
      <c r="I17" s="14">
        <v>5291663031.0200005</v>
      </c>
      <c r="J17" s="14">
        <v>10</v>
      </c>
      <c r="K17" s="14">
        <v>2080727792</v>
      </c>
      <c r="L17" s="14">
        <v>214</v>
      </c>
      <c r="M17" s="14">
        <v>28717563511.459999</v>
      </c>
      <c r="N17" s="14">
        <v>403</v>
      </c>
      <c r="O17" s="15">
        <v>60162741672.630005</v>
      </c>
    </row>
    <row r="18" spans="1:15" x14ac:dyDescent="0.3">
      <c r="A18" s="12" t="s">
        <v>26</v>
      </c>
      <c r="B18" s="13">
        <v>415</v>
      </c>
      <c r="C18" s="13">
        <v>100469554342.03</v>
      </c>
      <c r="D18" s="14">
        <v>3</v>
      </c>
      <c r="E18" s="14">
        <v>114113015</v>
      </c>
      <c r="F18" s="14">
        <v>45</v>
      </c>
      <c r="G18" s="14">
        <v>5270962180</v>
      </c>
      <c r="H18" s="14">
        <v>71</v>
      </c>
      <c r="I18" s="14">
        <v>7533977468.1700001</v>
      </c>
      <c r="J18" s="14">
        <v>17</v>
      </c>
      <c r="K18" s="14">
        <v>3977712251.1100001</v>
      </c>
      <c r="L18" s="14">
        <v>236</v>
      </c>
      <c r="M18" s="14">
        <v>27382666342.879997</v>
      </c>
      <c r="N18" s="14">
        <v>787</v>
      </c>
      <c r="O18" s="15">
        <v>144748985599.19</v>
      </c>
    </row>
    <row r="19" spans="1:15" x14ac:dyDescent="0.3">
      <c r="A19" s="8" t="s">
        <v>27</v>
      </c>
      <c r="B19" s="9">
        <v>507</v>
      </c>
      <c r="C19" s="9">
        <v>101176886949.25</v>
      </c>
      <c r="D19" s="10">
        <v>9</v>
      </c>
      <c r="E19" s="10">
        <v>366402470</v>
      </c>
      <c r="F19" s="10">
        <v>102</v>
      </c>
      <c r="G19" s="10">
        <v>11189831689</v>
      </c>
      <c r="H19" s="10">
        <v>58</v>
      </c>
      <c r="I19" s="10">
        <v>7703656592</v>
      </c>
      <c r="J19" s="10">
        <v>16</v>
      </c>
      <c r="K19" s="10">
        <v>5371176062</v>
      </c>
      <c r="L19" s="10">
        <v>390</v>
      </c>
      <c r="M19" s="10">
        <v>43021276860.279999</v>
      </c>
      <c r="N19" s="10">
        <v>1082</v>
      </c>
      <c r="O19" s="11">
        <v>168829230622.53003</v>
      </c>
    </row>
    <row r="20" spans="1:15" x14ac:dyDescent="0.3">
      <c r="A20" s="12" t="s">
        <v>28</v>
      </c>
      <c r="B20" s="13">
        <v>354</v>
      </c>
      <c r="C20" s="13">
        <v>51866910626.25</v>
      </c>
      <c r="D20" s="14">
        <v>8</v>
      </c>
      <c r="E20" s="14">
        <v>366402470</v>
      </c>
      <c r="F20" s="14">
        <v>91</v>
      </c>
      <c r="G20" s="14">
        <v>9870455753</v>
      </c>
      <c r="H20" s="14">
        <v>52</v>
      </c>
      <c r="I20" s="14">
        <v>6450143234</v>
      </c>
      <c r="J20" s="14">
        <v>5</v>
      </c>
      <c r="K20" s="14">
        <v>1048419153</v>
      </c>
      <c r="L20" s="14">
        <v>280</v>
      </c>
      <c r="M20" s="14">
        <v>25142438485.280003</v>
      </c>
      <c r="N20" s="14">
        <v>790</v>
      </c>
      <c r="O20" s="15">
        <v>94744769721.530014</v>
      </c>
    </row>
    <row r="21" spans="1:15" x14ac:dyDescent="0.3">
      <c r="A21" s="12" t="s">
        <v>29</v>
      </c>
      <c r="B21" s="13">
        <v>153</v>
      </c>
      <c r="C21" s="13">
        <v>49309976323</v>
      </c>
      <c r="D21" s="14">
        <v>1</v>
      </c>
      <c r="E21" s="14">
        <v>0</v>
      </c>
      <c r="F21" s="14">
        <v>11</v>
      </c>
      <c r="G21" s="14">
        <v>1319375936</v>
      </c>
      <c r="H21" s="14">
        <v>6</v>
      </c>
      <c r="I21" s="14">
        <v>1253513358</v>
      </c>
      <c r="J21" s="14">
        <v>11</v>
      </c>
      <c r="K21" s="14">
        <v>4322756909</v>
      </c>
      <c r="L21" s="14">
        <v>110</v>
      </c>
      <c r="M21" s="14">
        <v>17878838375</v>
      </c>
      <c r="N21" s="14">
        <v>292</v>
      </c>
      <c r="O21" s="15">
        <v>74084460901</v>
      </c>
    </row>
    <row r="22" spans="1:15" x14ac:dyDescent="0.3">
      <c r="A22" s="8" t="s">
        <v>30</v>
      </c>
      <c r="B22" s="9">
        <v>446</v>
      </c>
      <c r="C22" s="9">
        <v>50954918318.510002</v>
      </c>
      <c r="D22" s="10">
        <v>1</v>
      </c>
      <c r="E22" s="10">
        <v>63101541</v>
      </c>
      <c r="F22" s="10">
        <v>37</v>
      </c>
      <c r="G22" s="10">
        <v>2588466335</v>
      </c>
      <c r="H22" s="10">
        <v>75</v>
      </c>
      <c r="I22" s="10">
        <v>6675665037</v>
      </c>
      <c r="J22" s="10"/>
      <c r="K22" s="10"/>
      <c r="L22" s="10">
        <v>416</v>
      </c>
      <c r="M22" s="10">
        <v>34618966990.239998</v>
      </c>
      <c r="N22" s="10">
        <v>975</v>
      </c>
      <c r="O22" s="11">
        <v>94901118221.75</v>
      </c>
    </row>
    <row r="23" spans="1:15" x14ac:dyDescent="0.3">
      <c r="A23" s="12" t="s">
        <v>31</v>
      </c>
      <c r="B23" s="13">
        <v>147</v>
      </c>
      <c r="C23" s="13">
        <v>16882506243.35</v>
      </c>
      <c r="D23" s="14">
        <v>1</v>
      </c>
      <c r="E23" s="14">
        <v>63101541</v>
      </c>
      <c r="F23" s="14">
        <v>14</v>
      </c>
      <c r="G23" s="14">
        <v>905808083</v>
      </c>
      <c r="H23" s="14">
        <v>21</v>
      </c>
      <c r="I23" s="14">
        <v>2029390398</v>
      </c>
      <c r="J23" s="14"/>
      <c r="K23" s="14"/>
      <c r="L23" s="14">
        <v>168</v>
      </c>
      <c r="M23" s="14">
        <v>13371140108</v>
      </c>
      <c r="N23" s="14">
        <v>351</v>
      </c>
      <c r="O23" s="15">
        <v>33251946373.349998</v>
      </c>
    </row>
    <row r="24" spans="1:15" x14ac:dyDescent="0.3">
      <c r="A24" s="12" t="s">
        <v>32</v>
      </c>
      <c r="B24" s="13">
        <v>125</v>
      </c>
      <c r="C24" s="13">
        <v>12981622971.75</v>
      </c>
      <c r="D24" s="14"/>
      <c r="E24" s="14"/>
      <c r="F24" s="14">
        <v>13</v>
      </c>
      <c r="G24" s="14">
        <v>1023112923</v>
      </c>
      <c r="H24" s="14">
        <v>30</v>
      </c>
      <c r="I24" s="14">
        <v>2773867134</v>
      </c>
      <c r="J24" s="14"/>
      <c r="K24" s="14"/>
      <c r="L24" s="14">
        <v>106</v>
      </c>
      <c r="M24" s="14">
        <v>8866777785</v>
      </c>
      <c r="N24" s="14">
        <v>274</v>
      </c>
      <c r="O24" s="15">
        <v>25645380813.75</v>
      </c>
    </row>
    <row r="25" spans="1:15" x14ac:dyDescent="0.3">
      <c r="A25" s="12" t="s">
        <v>33</v>
      </c>
      <c r="B25" s="13">
        <v>113</v>
      </c>
      <c r="C25" s="13">
        <v>11557388258.65</v>
      </c>
      <c r="D25" s="14"/>
      <c r="E25" s="14"/>
      <c r="F25" s="14">
        <v>4</v>
      </c>
      <c r="G25" s="14">
        <v>264161753</v>
      </c>
      <c r="H25" s="14">
        <v>10</v>
      </c>
      <c r="I25" s="14">
        <v>858134946</v>
      </c>
      <c r="J25" s="14"/>
      <c r="K25" s="14"/>
      <c r="L25" s="14">
        <v>71</v>
      </c>
      <c r="M25" s="14">
        <v>5305280397</v>
      </c>
      <c r="N25" s="14">
        <v>198</v>
      </c>
      <c r="O25" s="15">
        <v>17984965354.650002</v>
      </c>
    </row>
    <row r="26" spans="1:15" x14ac:dyDescent="0.3">
      <c r="A26" s="12" t="s">
        <v>34</v>
      </c>
      <c r="B26" s="13">
        <v>61</v>
      </c>
      <c r="C26" s="13">
        <v>9533400844.7600002</v>
      </c>
      <c r="D26" s="14"/>
      <c r="E26" s="14"/>
      <c r="F26" s="14">
        <v>6</v>
      </c>
      <c r="G26" s="14">
        <v>395383576</v>
      </c>
      <c r="H26" s="14">
        <v>14</v>
      </c>
      <c r="I26" s="14">
        <v>1014272559</v>
      </c>
      <c r="J26" s="14"/>
      <c r="K26" s="14"/>
      <c r="L26" s="14">
        <v>71</v>
      </c>
      <c r="M26" s="14">
        <v>7075768700.2399998</v>
      </c>
      <c r="N26" s="14">
        <v>152</v>
      </c>
      <c r="O26" s="15">
        <v>18018825680</v>
      </c>
    </row>
    <row r="27" spans="1:15" x14ac:dyDescent="0.3">
      <c r="A27" s="4" t="s">
        <v>35</v>
      </c>
      <c r="B27" s="5">
        <v>311</v>
      </c>
      <c r="C27" s="5">
        <v>38228121883.240005</v>
      </c>
      <c r="D27" s="6">
        <v>12</v>
      </c>
      <c r="E27" s="6">
        <v>225605386</v>
      </c>
      <c r="F27" s="6">
        <v>18</v>
      </c>
      <c r="G27" s="6">
        <v>337071134.38999999</v>
      </c>
      <c r="H27" s="6">
        <v>63</v>
      </c>
      <c r="I27" s="6">
        <v>3328386372.23</v>
      </c>
      <c r="J27" s="6">
        <v>5</v>
      </c>
      <c r="K27" s="6">
        <v>589816691</v>
      </c>
      <c r="L27" s="6">
        <v>718</v>
      </c>
      <c r="M27" s="6">
        <v>61136997880.480003</v>
      </c>
      <c r="N27" s="6">
        <v>1127</v>
      </c>
      <c r="O27" s="7">
        <v>103845999347.34</v>
      </c>
    </row>
    <row r="28" spans="1:15" x14ac:dyDescent="0.3">
      <c r="A28" s="8" t="s">
        <v>36</v>
      </c>
      <c r="B28" s="9">
        <v>137</v>
      </c>
      <c r="C28" s="9">
        <v>15328635076.539999</v>
      </c>
      <c r="D28" s="10">
        <v>9</v>
      </c>
      <c r="E28" s="10">
        <v>164398407</v>
      </c>
      <c r="F28" s="10">
        <v>12</v>
      </c>
      <c r="G28" s="10">
        <v>292622299.38999999</v>
      </c>
      <c r="H28" s="10">
        <v>42</v>
      </c>
      <c r="I28" s="10">
        <v>2617355192.3400002</v>
      </c>
      <c r="J28" s="10">
        <v>2</v>
      </c>
      <c r="K28" s="10">
        <v>241206497</v>
      </c>
      <c r="L28" s="10">
        <v>373</v>
      </c>
      <c r="M28" s="10">
        <v>32976289548.469997</v>
      </c>
      <c r="N28" s="10">
        <v>575</v>
      </c>
      <c r="O28" s="11">
        <v>51620507020.739998</v>
      </c>
    </row>
    <row r="29" spans="1:15" x14ac:dyDescent="0.3">
      <c r="A29" s="12" t="s">
        <v>37</v>
      </c>
      <c r="B29" s="13">
        <v>21</v>
      </c>
      <c r="C29" s="13">
        <v>1691765855</v>
      </c>
      <c r="D29" s="14">
        <v>2</v>
      </c>
      <c r="E29" s="14">
        <v>87673995</v>
      </c>
      <c r="F29" s="14">
        <v>2</v>
      </c>
      <c r="G29" s="14">
        <v>84908408</v>
      </c>
      <c r="H29" s="14">
        <v>8</v>
      </c>
      <c r="I29" s="14">
        <v>654171677</v>
      </c>
      <c r="J29" s="14"/>
      <c r="K29" s="14"/>
      <c r="L29" s="14">
        <v>65</v>
      </c>
      <c r="M29" s="14">
        <v>6760722651.0599995</v>
      </c>
      <c r="N29" s="14">
        <v>98</v>
      </c>
      <c r="O29" s="15">
        <v>9279242586.0599995</v>
      </c>
    </row>
    <row r="30" spans="1:15" x14ac:dyDescent="0.3">
      <c r="A30" s="12" t="s">
        <v>38</v>
      </c>
      <c r="B30" s="13">
        <v>30</v>
      </c>
      <c r="C30" s="13">
        <v>2189501016</v>
      </c>
      <c r="D30" s="14">
        <v>4</v>
      </c>
      <c r="E30" s="14">
        <v>54696931</v>
      </c>
      <c r="F30" s="14">
        <v>7</v>
      </c>
      <c r="G30" s="14">
        <v>73766323.390000001</v>
      </c>
      <c r="H30" s="14">
        <v>16</v>
      </c>
      <c r="I30" s="14">
        <v>609229091.34000003</v>
      </c>
      <c r="J30" s="14"/>
      <c r="K30" s="14"/>
      <c r="L30" s="14">
        <v>166</v>
      </c>
      <c r="M30" s="14">
        <v>9738391895.6499996</v>
      </c>
      <c r="N30" s="14">
        <v>223</v>
      </c>
      <c r="O30" s="15">
        <v>12665585257.379999</v>
      </c>
    </row>
    <row r="31" spans="1:15" x14ac:dyDescent="0.3">
      <c r="A31" s="12" t="s">
        <v>39</v>
      </c>
      <c r="B31" s="13">
        <v>47</v>
      </c>
      <c r="C31" s="13">
        <v>5315906055.6499996</v>
      </c>
      <c r="D31" s="14">
        <v>2</v>
      </c>
      <c r="E31" s="14">
        <v>4635502</v>
      </c>
      <c r="F31" s="14">
        <v>1</v>
      </c>
      <c r="G31" s="14">
        <v>4226293</v>
      </c>
      <c r="H31" s="14">
        <v>7</v>
      </c>
      <c r="I31" s="14">
        <v>330726549</v>
      </c>
      <c r="J31" s="14">
        <v>1</v>
      </c>
      <c r="K31" s="14">
        <v>130356541</v>
      </c>
      <c r="L31" s="14">
        <v>90</v>
      </c>
      <c r="M31" s="14">
        <v>9258720219.9799995</v>
      </c>
      <c r="N31" s="14">
        <v>148</v>
      </c>
      <c r="O31" s="15">
        <v>15044571160.629999</v>
      </c>
    </row>
    <row r="32" spans="1:15" x14ac:dyDescent="0.3">
      <c r="A32" s="12" t="s">
        <v>40</v>
      </c>
      <c r="B32" s="13">
        <v>39</v>
      </c>
      <c r="C32" s="13">
        <v>6131462149.8900003</v>
      </c>
      <c r="D32" s="14">
        <v>1</v>
      </c>
      <c r="E32" s="14">
        <v>17391979</v>
      </c>
      <c r="F32" s="14">
        <v>2</v>
      </c>
      <c r="G32" s="14">
        <v>129721275</v>
      </c>
      <c r="H32" s="14">
        <v>11</v>
      </c>
      <c r="I32" s="14">
        <v>1023227875</v>
      </c>
      <c r="J32" s="14">
        <v>1</v>
      </c>
      <c r="K32" s="14">
        <v>110849956</v>
      </c>
      <c r="L32" s="14">
        <v>52</v>
      </c>
      <c r="M32" s="14">
        <v>7218454781.7799997</v>
      </c>
      <c r="N32" s="14">
        <v>106</v>
      </c>
      <c r="O32" s="15">
        <v>14631108016.67</v>
      </c>
    </row>
    <row r="33" spans="1:15" x14ac:dyDescent="0.3">
      <c r="A33" s="8" t="s">
        <v>41</v>
      </c>
      <c r="B33" s="9">
        <v>174</v>
      </c>
      <c r="C33" s="9">
        <v>22899486806.700001</v>
      </c>
      <c r="D33" s="10">
        <v>3</v>
      </c>
      <c r="E33" s="10">
        <v>61206979</v>
      </c>
      <c r="F33" s="10">
        <v>6</v>
      </c>
      <c r="G33" s="10">
        <v>44448835</v>
      </c>
      <c r="H33" s="10">
        <v>21</v>
      </c>
      <c r="I33" s="10">
        <v>711031179.88999999</v>
      </c>
      <c r="J33" s="10">
        <v>3</v>
      </c>
      <c r="K33" s="10">
        <v>348610194</v>
      </c>
      <c r="L33" s="10">
        <v>345</v>
      </c>
      <c r="M33" s="10">
        <v>28160708332.009998</v>
      </c>
      <c r="N33" s="10">
        <v>552</v>
      </c>
      <c r="O33" s="11">
        <v>52225492326.599998</v>
      </c>
    </row>
    <row r="34" spans="1:15" x14ac:dyDescent="0.3">
      <c r="A34" s="12" t="s">
        <v>42</v>
      </c>
      <c r="B34" s="13">
        <v>35</v>
      </c>
      <c r="C34" s="13">
        <v>3514289755</v>
      </c>
      <c r="D34" s="14">
        <v>1</v>
      </c>
      <c r="E34" s="14">
        <v>23950713</v>
      </c>
      <c r="F34" s="14">
        <v>3</v>
      </c>
      <c r="G34" s="14">
        <v>10240366</v>
      </c>
      <c r="H34" s="14">
        <v>7</v>
      </c>
      <c r="I34" s="14">
        <v>170954885</v>
      </c>
      <c r="J34" s="14">
        <v>1</v>
      </c>
      <c r="K34" s="14">
        <v>58857823</v>
      </c>
      <c r="L34" s="14">
        <v>99</v>
      </c>
      <c r="M34" s="14">
        <v>6878427809</v>
      </c>
      <c r="N34" s="14">
        <v>146</v>
      </c>
      <c r="O34" s="15">
        <v>10656721351</v>
      </c>
    </row>
    <row r="35" spans="1:15" x14ac:dyDescent="0.3">
      <c r="A35" s="12" t="s">
        <v>43</v>
      </c>
      <c r="B35" s="13">
        <v>86</v>
      </c>
      <c r="C35" s="13">
        <v>11599002425.700001</v>
      </c>
      <c r="D35" s="14"/>
      <c r="E35" s="14"/>
      <c r="F35" s="14">
        <v>2</v>
      </c>
      <c r="G35" s="14">
        <v>21365010</v>
      </c>
      <c r="H35" s="14">
        <v>8</v>
      </c>
      <c r="I35" s="14">
        <v>309423693.88999999</v>
      </c>
      <c r="J35" s="14"/>
      <c r="K35" s="14"/>
      <c r="L35" s="14">
        <v>84</v>
      </c>
      <c r="M35" s="14">
        <v>6247209896.0300007</v>
      </c>
      <c r="N35" s="14">
        <v>180</v>
      </c>
      <c r="O35" s="15">
        <v>18177001025.619999</v>
      </c>
    </row>
    <row r="36" spans="1:15" x14ac:dyDescent="0.3">
      <c r="A36" s="12" t="s">
        <v>44</v>
      </c>
      <c r="B36" s="13">
        <v>34</v>
      </c>
      <c r="C36" s="13">
        <v>5208874280</v>
      </c>
      <c r="D36" s="14">
        <v>2</v>
      </c>
      <c r="E36" s="14">
        <v>37256266</v>
      </c>
      <c r="F36" s="14"/>
      <c r="G36" s="14"/>
      <c r="H36" s="14">
        <v>5</v>
      </c>
      <c r="I36" s="14">
        <v>165942614</v>
      </c>
      <c r="J36" s="14">
        <v>2</v>
      </c>
      <c r="K36" s="14">
        <v>289752371</v>
      </c>
      <c r="L36" s="14">
        <v>72</v>
      </c>
      <c r="M36" s="14">
        <v>7232644758.9799995</v>
      </c>
      <c r="N36" s="14">
        <v>115</v>
      </c>
      <c r="O36" s="15">
        <v>12934470289.98</v>
      </c>
    </row>
    <row r="37" spans="1:15" x14ac:dyDescent="0.3">
      <c r="A37" s="12" t="s">
        <v>45</v>
      </c>
      <c r="B37" s="13">
        <v>19</v>
      </c>
      <c r="C37" s="13">
        <v>2577320346</v>
      </c>
      <c r="D37" s="14"/>
      <c r="E37" s="14"/>
      <c r="F37" s="14">
        <v>1</v>
      </c>
      <c r="G37" s="14">
        <v>12843459</v>
      </c>
      <c r="H37" s="14">
        <v>1</v>
      </c>
      <c r="I37" s="14">
        <v>64709987</v>
      </c>
      <c r="J37" s="14"/>
      <c r="K37" s="14"/>
      <c r="L37" s="14">
        <v>90</v>
      </c>
      <c r="M37" s="14">
        <v>7802425868</v>
      </c>
      <c r="N37" s="14">
        <v>111</v>
      </c>
      <c r="O37" s="15">
        <v>10457299660</v>
      </c>
    </row>
    <row r="38" spans="1:15" x14ac:dyDescent="0.3">
      <c r="A38" s="4" t="s">
        <v>46</v>
      </c>
      <c r="B38" s="5">
        <v>804</v>
      </c>
      <c r="C38" s="5">
        <v>154618810172.95999</v>
      </c>
      <c r="D38" s="6">
        <v>16</v>
      </c>
      <c r="E38" s="6">
        <v>537137145</v>
      </c>
      <c r="F38" s="6">
        <v>57</v>
      </c>
      <c r="G38" s="6">
        <v>7062959368</v>
      </c>
      <c r="H38" s="6">
        <v>162</v>
      </c>
      <c r="I38" s="6">
        <v>25842165811.48</v>
      </c>
      <c r="J38" s="6">
        <v>27</v>
      </c>
      <c r="K38" s="6">
        <v>5495017492</v>
      </c>
      <c r="L38" s="6">
        <v>1248</v>
      </c>
      <c r="M38" s="6">
        <v>172881034881.27005</v>
      </c>
      <c r="N38" s="6">
        <v>2314</v>
      </c>
      <c r="O38" s="7">
        <v>366437124870.70996</v>
      </c>
    </row>
    <row r="39" spans="1:15" x14ac:dyDescent="0.3">
      <c r="A39" s="8" t="s">
        <v>47</v>
      </c>
      <c r="B39" s="9">
        <v>82</v>
      </c>
      <c r="C39" s="9">
        <v>12125525496.17</v>
      </c>
      <c r="D39" s="10">
        <v>4</v>
      </c>
      <c r="E39" s="10">
        <v>3329101</v>
      </c>
      <c r="F39" s="10">
        <v>12</v>
      </c>
      <c r="G39" s="10">
        <v>382678426</v>
      </c>
      <c r="H39" s="10">
        <v>24</v>
      </c>
      <c r="I39" s="10">
        <v>1785265380</v>
      </c>
      <c r="J39" s="10">
        <v>3</v>
      </c>
      <c r="K39" s="10">
        <v>143761792</v>
      </c>
      <c r="L39" s="10">
        <v>268</v>
      </c>
      <c r="M39" s="10">
        <v>37095389924.040001</v>
      </c>
      <c r="N39" s="10">
        <v>393</v>
      </c>
      <c r="O39" s="11">
        <v>51535950119.210007</v>
      </c>
    </row>
    <row r="40" spans="1:15" x14ac:dyDescent="0.3">
      <c r="A40" s="12" t="s">
        <v>48</v>
      </c>
      <c r="B40" s="13">
        <v>9</v>
      </c>
      <c r="C40" s="13">
        <v>4090425290.4400001</v>
      </c>
      <c r="D40" s="14">
        <v>1</v>
      </c>
      <c r="E40" s="14">
        <v>0</v>
      </c>
      <c r="F40" s="14">
        <v>1</v>
      </c>
      <c r="G40" s="14">
        <v>0</v>
      </c>
      <c r="H40" s="14"/>
      <c r="I40" s="14"/>
      <c r="J40" s="14">
        <v>1</v>
      </c>
      <c r="K40" s="14">
        <v>8111520</v>
      </c>
      <c r="L40" s="14">
        <v>13</v>
      </c>
      <c r="M40" s="14">
        <v>7117128289</v>
      </c>
      <c r="N40" s="14">
        <v>25</v>
      </c>
      <c r="O40" s="15">
        <v>11215665099.440001</v>
      </c>
    </row>
    <row r="41" spans="1:15" x14ac:dyDescent="0.3">
      <c r="A41" s="12" t="s">
        <v>49</v>
      </c>
      <c r="B41" s="13">
        <v>8</v>
      </c>
      <c r="C41" s="13">
        <v>987681565</v>
      </c>
      <c r="D41" s="14"/>
      <c r="E41" s="14"/>
      <c r="F41" s="14">
        <v>1</v>
      </c>
      <c r="G41" s="14">
        <v>67100103</v>
      </c>
      <c r="H41" s="14">
        <v>3</v>
      </c>
      <c r="I41" s="14">
        <v>387515117</v>
      </c>
      <c r="J41" s="14"/>
      <c r="K41" s="14"/>
      <c r="L41" s="14">
        <v>33</v>
      </c>
      <c r="M41" s="14">
        <v>4304832012</v>
      </c>
      <c r="N41" s="14">
        <v>45</v>
      </c>
      <c r="O41" s="15">
        <v>5747128797</v>
      </c>
    </row>
    <row r="42" spans="1:15" x14ac:dyDescent="0.3">
      <c r="A42" s="12" t="s">
        <v>50</v>
      </c>
      <c r="B42" s="13">
        <v>14</v>
      </c>
      <c r="C42" s="13">
        <v>980932830</v>
      </c>
      <c r="D42" s="14">
        <v>1</v>
      </c>
      <c r="E42" s="14">
        <v>3329101</v>
      </c>
      <c r="F42" s="14">
        <v>4</v>
      </c>
      <c r="G42" s="14">
        <v>11247364</v>
      </c>
      <c r="H42" s="14">
        <v>13</v>
      </c>
      <c r="I42" s="14">
        <v>726567379</v>
      </c>
      <c r="J42" s="14"/>
      <c r="K42" s="14"/>
      <c r="L42" s="14">
        <v>33</v>
      </c>
      <c r="M42" s="14">
        <v>3192584815</v>
      </c>
      <c r="N42" s="14">
        <v>65</v>
      </c>
      <c r="O42" s="15">
        <v>4914661489</v>
      </c>
    </row>
    <row r="43" spans="1:15" x14ac:dyDescent="0.3">
      <c r="A43" s="12" t="s">
        <v>51</v>
      </c>
      <c r="B43" s="13">
        <v>51</v>
      </c>
      <c r="C43" s="13">
        <v>6066485810.7299995</v>
      </c>
      <c r="D43" s="14">
        <v>2</v>
      </c>
      <c r="E43" s="14">
        <v>0</v>
      </c>
      <c r="F43" s="14">
        <v>6</v>
      </c>
      <c r="G43" s="14">
        <v>304330959</v>
      </c>
      <c r="H43" s="14">
        <v>8</v>
      </c>
      <c r="I43" s="14">
        <v>671182884</v>
      </c>
      <c r="J43" s="14">
        <v>2</v>
      </c>
      <c r="K43" s="14">
        <v>135650272</v>
      </c>
      <c r="L43" s="14">
        <v>189</v>
      </c>
      <c r="M43" s="14">
        <v>22480844808.040001</v>
      </c>
      <c r="N43" s="14">
        <v>258</v>
      </c>
      <c r="O43" s="15">
        <v>29658494733.77</v>
      </c>
    </row>
    <row r="44" spans="1:15" x14ac:dyDescent="0.3">
      <c r="A44" s="8" t="s">
        <v>52</v>
      </c>
      <c r="B44" s="9">
        <v>261</v>
      </c>
      <c r="C44" s="9">
        <v>71827899347.429993</v>
      </c>
      <c r="D44" s="10">
        <v>4</v>
      </c>
      <c r="E44" s="10">
        <v>4550350</v>
      </c>
      <c r="F44" s="10">
        <v>13</v>
      </c>
      <c r="G44" s="10">
        <v>3311549318</v>
      </c>
      <c r="H44" s="10">
        <v>46</v>
      </c>
      <c r="I44" s="10">
        <v>9292167947</v>
      </c>
      <c r="J44" s="10">
        <v>12</v>
      </c>
      <c r="K44" s="10">
        <v>2650674608</v>
      </c>
      <c r="L44" s="10">
        <v>328</v>
      </c>
      <c r="M44" s="10">
        <v>72457030334.850006</v>
      </c>
      <c r="N44" s="10">
        <v>664</v>
      </c>
      <c r="O44" s="11">
        <v>159543871905.28</v>
      </c>
    </row>
    <row r="45" spans="1:15" x14ac:dyDescent="0.3">
      <c r="A45" s="12" t="s">
        <v>53</v>
      </c>
      <c r="B45" s="13">
        <v>39</v>
      </c>
      <c r="C45" s="13">
        <v>5256230229</v>
      </c>
      <c r="D45" s="14">
        <v>1</v>
      </c>
      <c r="E45" s="14">
        <v>4550350</v>
      </c>
      <c r="F45" s="14">
        <v>1</v>
      </c>
      <c r="G45" s="14">
        <v>7902973</v>
      </c>
      <c r="H45" s="14">
        <v>6</v>
      </c>
      <c r="I45" s="14">
        <v>376915404</v>
      </c>
      <c r="J45" s="14">
        <v>2</v>
      </c>
      <c r="K45" s="14">
        <v>312302191</v>
      </c>
      <c r="L45" s="14">
        <v>36</v>
      </c>
      <c r="M45" s="14">
        <v>3441715107</v>
      </c>
      <c r="N45" s="14">
        <v>85</v>
      </c>
      <c r="O45" s="15">
        <v>9399616254</v>
      </c>
    </row>
    <row r="46" spans="1:15" x14ac:dyDescent="0.3">
      <c r="A46" s="12" t="s">
        <v>54</v>
      </c>
      <c r="B46" s="13">
        <v>46</v>
      </c>
      <c r="C46" s="13">
        <v>10161004651</v>
      </c>
      <c r="D46" s="14"/>
      <c r="E46" s="14"/>
      <c r="F46" s="14">
        <v>2</v>
      </c>
      <c r="G46" s="14">
        <v>228670644</v>
      </c>
      <c r="H46" s="14">
        <v>9</v>
      </c>
      <c r="I46" s="14">
        <v>1004865697</v>
      </c>
      <c r="J46" s="14">
        <v>3</v>
      </c>
      <c r="K46" s="14">
        <v>267227948</v>
      </c>
      <c r="L46" s="14">
        <v>98</v>
      </c>
      <c r="M46" s="14">
        <v>10215126107</v>
      </c>
      <c r="N46" s="14">
        <v>158</v>
      </c>
      <c r="O46" s="15">
        <v>21876895047</v>
      </c>
    </row>
    <row r="47" spans="1:15" x14ac:dyDescent="0.3">
      <c r="A47" s="12" t="s">
        <v>55</v>
      </c>
      <c r="B47" s="13">
        <v>64</v>
      </c>
      <c r="C47" s="13">
        <v>19652663771.43</v>
      </c>
      <c r="D47" s="14"/>
      <c r="E47" s="14"/>
      <c r="F47" s="14">
        <v>4</v>
      </c>
      <c r="G47" s="14">
        <v>719453575</v>
      </c>
      <c r="H47" s="14">
        <v>9</v>
      </c>
      <c r="I47" s="14">
        <v>1956372076</v>
      </c>
      <c r="J47" s="14">
        <v>5</v>
      </c>
      <c r="K47" s="14">
        <v>1050541000</v>
      </c>
      <c r="L47" s="14">
        <v>77</v>
      </c>
      <c r="M47" s="14">
        <v>20830345133</v>
      </c>
      <c r="N47" s="14">
        <v>159</v>
      </c>
      <c r="O47" s="15">
        <v>44209375555.43</v>
      </c>
    </row>
    <row r="48" spans="1:15" x14ac:dyDescent="0.3">
      <c r="A48" s="12" t="s">
        <v>56</v>
      </c>
      <c r="B48" s="13">
        <v>104</v>
      </c>
      <c r="C48" s="13">
        <v>34080842202</v>
      </c>
      <c r="D48" s="14">
        <v>1</v>
      </c>
      <c r="E48" s="14">
        <v>0</v>
      </c>
      <c r="F48" s="14">
        <v>6</v>
      </c>
      <c r="G48" s="14">
        <v>2355522126</v>
      </c>
      <c r="H48" s="14">
        <v>22</v>
      </c>
      <c r="I48" s="14">
        <v>5954014770</v>
      </c>
      <c r="J48" s="14">
        <v>2</v>
      </c>
      <c r="K48" s="14">
        <v>1020603469</v>
      </c>
      <c r="L48" s="14">
        <v>97</v>
      </c>
      <c r="M48" s="14">
        <v>30412275579.349998</v>
      </c>
      <c r="N48" s="14">
        <v>232</v>
      </c>
      <c r="O48" s="15">
        <v>73823258146.350006</v>
      </c>
    </row>
    <row r="49" spans="1:15" x14ac:dyDescent="0.3">
      <c r="A49" s="12" t="s">
        <v>57</v>
      </c>
      <c r="B49" s="13">
        <v>8</v>
      </c>
      <c r="C49" s="13">
        <v>2677158494</v>
      </c>
      <c r="D49" s="14">
        <v>2</v>
      </c>
      <c r="E49" s="14">
        <v>0</v>
      </c>
      <c r="F49" s="14"/>
      <c r="G49" s="14"/>
      <c r="H49" s="14"/>
      <c r="I49" s="14"/>
      <c r="J49" s="14"/>
      <c r="K49" s="14"/>
      <c r="L49" s="14">
        <v>20</v>
      </c>
      <c r="M49" s="14">
        <v>7557568408.5</v>
      </c>
      <c r="N49" s="14">
        <v>30</v>
      </c>
      <c r="O49" s="15">
        <v>10234726902.5</v>
      </c>
    </row>
    <row r="50" spans="1:15" x14ac:dyDescent="0.3">
      <c r="A50" s="8" t="s">
        <v>58</v>
      </c>
      <c r="B50" s="9">
        <v>226</v>
      </c>
      <c r="C50" s="9">
        <v>46630079270.779999</v>
      </c>
      <c r="D50" s="10">
        <v>1</v>
      </c>
      <c r="E50" s="10">
        <v>0</v>
      </c>
      <c r="F50" s="10">
        <v>13</v>
      </c>
      <c r="G50" s="10">
        <v>1437266921</v>
      </c>
      <c r="H50" s="10">
        <v>62</v>
      </c>
      <c r="I50" s="10">
        <v>12010252919</v>
      </c>
      <c r="J50" s="10">
        <v>7</v>
      </c>
      <c r="K50" s="10">
        <v>971752309</v>
      </c>
      <c r="L50" s="10">
        <v>364</v>
      </c>
      <c r="M50" s="10">
        <v>43077676340.379997</v>
      </c>
      <c r="N50" s="10">
        <v>673</v>
      </c>
      <c r="O50" s="11">
        <v>104127027760.16</v>
      </c>
    </row>
    <row r="51" spans="1:15" x14ac:dyDescent="0.3">
      <c r="A51" s="12" t="s">
        <v>59</v>
      </c>
      <c r="B51" s="13">
        <v>31</v>
      </c>
      <c r="C51" s="13">
        <v>8891328319</v>
      </c>
      <c r="D51" s="14"/>
      <c r="E51" s="14"/>
      <c r="F51" s="14">
        <v>2</v>
      </c>
      <c r="G51" s="14">
        <v>467669125</v>
      </c>
      <c r="H51" s="14">
        <v>26</v>
      </c>
      <c r="I51" s="14">
        <v>6701604443</v>
      </c>
      <c r="J51" s="14"/>
      <c r="K51" s="14"/>
      <c r="L51" s="14">
        <v>70</v>
      </c>
      <c r="M51" s="14">
        <v>9561003385.7099991</v>
      </c>
      <c r="N51" s="14">
        <v>129</v>
      </c>
      <c r="O51" s="15">
        <v>25621605272.710003</v>
      </c>
    </row>
    <row r="52" spans="1:15" x14ac:dyDescent="0.3">
      <c r="A52" s="12" t="s">
        <v>60</v>
      </c>
      <c r="B52" s="13">
        <v>77</v>
      </c>
      <c r="C52" s="13">
        <v>24834831514.779999</v>
      </c>
      <c r="D52" s="14"/>
      <c r="E52" s="14"/>
      <c r="F52" s="14">
        <v>5</v>
      </c>
      <c r="G52" s="14">
        <v>312797771</v>
      </c>
      <c r="H52" s="14">
        <v>22</v>
      </c>
      <c r="I52" s="14">
        <v>4072694787</v>
      </c>
      <c r="J52" s="14">
        <v>3</v>
      </c>
      <c r="K52" s="14">
        <v>594611677</v>
      </c>
      <c r="L52" s="14">
        <v>61</v>
      </c>
      <c r="M52" s="14">
        <v>13941003558</v>
      </c>
      <c r="N52" s="14">
        <v>168</v>
      </c>
      <c r="O52" s="15">
        <v>43755939307.779999</v>
      </c>
    </row>
    <row r="53" spans="1:15" x14ac:dyDescent="0.3">
      <c r="A53" s="12" t="s">
        <v>61</v>
      </c>
      <c r="B53" s="13">
        <v>23</v>
      </c>
      <c r="C53" s="13">
        <v>2313971669</v>
      </c>
      <c r="D53" s="14">
        <v>1</v>
      </c>
      <c r="E53" s="14">
        <v>0</v>
      </c>
      <c r="F53" s="14">
        <v>1</v>
      </c>
      <c r="G53" s="14">
        <v>133757241</v>
      </c>
      <c r="H53" s="14">
        <v>5</v>
      </c>
      <c r="I53" s="14">
        <v>204904958</v>
      </c>
      <c r="J53" s="14">
        <v>2</v>
      </c>
      <c r="K53" s="14">
        <v>130086419</v>
      </c>
      <c r="L53" s="14">
        <v>121</v>
      </c>
      <c r="M53" s="14">
        <v>8814532322.6700001</v>
      </c>
      <c r="N53" s="14">
        <v>153</v>
      </c>
      <c r="O53" s="15">
        <v>11597252609.67</v>
      </c>
    </row>
    <row r="54" spans="1:15" x14ac:dyDescent="0.3">
      <c r="A54" s="12" t="s">
        <v>62</v>
      </c>
      <c r="B54" s="13">
        <v>86</v>
      </c>
      <c r="C54" s="13">
        <v>9474151026</v>
      </c>
      <c r="D54" s="14"/>
      <c r="E54" s="14"/>
      <c r="F54" s="14">
        <v>5</v>
      </c>
      <c r="G54" s="14">
        <v>523042784</v>
      </c>
      <c r="H54" s="14">
        <v>7</v>
      </c>
      <c r="I54" s="14">
        <v>1018016452</v>
      </c>
      <c r="J54" s="14">
        <v>1</v>
      </c>
      <c r="K54" s="14">
        <v>102331621</v>
      </c>
      <c r="L54" s="14">
        <v>97</v>
      </c>
      <c r="M54" s="14">
        <v>10138574260</v>
      </c>
      <c r="N54" s="14">
        <v>196</v>
      </c>
      <c r="O54" s="15">
        <v>21256116143</v>
      </c>
    </row>
    <row r="55" spans="1:15" x14ac:dyDescent="0.3">
      <c r="A55" s="12" t="s">
        <v>63</v>
      </c>
      <c r="B55" s="13">
        <v>9</v>
      </c>
      <c r="C55" s="13">
        <v>1115796742</v>
      </c>
      <c r="D55" s="14"/>
      <c r="E55" s="14"/>
      <c r="F55" s="14"/>
      <c r="G55" s="14"/>
      <c r="H55" s="14">
        <v>2</v>
      </c>
      <c r="I55" s="14">
        <v>13032279</v>
      </c>
      <c r="J55" s="14">
        <v>1</v>
      </c>
      <c r="K55" s="14">
        <v>144722592</v>
      </c>
      <c r="L55" s="14">
        <v>15</v>
      </c>
      <c r="M55" s="14">
        <v>622562814</v>
      </c>
      <c r="N55" s="14">
        <v>27</v>
      </c>
      <c r="O55" s="15">
        <v>1896114427</v>
      </c>
    </row>
    <row r="56" spans="1:15" x14ac:dyDescent="0.3">
      <c r="A56" s="8" t="s">
        <v>64</v>
      </c>
      <c r="B56" s="9">
        <v>235</v>
      </c>
      <c r="C56" s="9">
        <v>24035306058.580002</v>
      </c>
      <c r="D56" s="10">
        <v>7</v>
      </c>
      <c r="E56" s="10">
        <v>529257694</v>
      </c>
      <c r="F56" s="10">
        <v>19</v>
      </c>
      <c r="G56" s="10">
        <v>1931464703</v>
      </c>
      <c r="H56" s="10">
        <v>30</v>
      </c>
      <c r="I56" s="10">
        <v>2754479565.48</v>
      </c>
      <c r="J56" s="10">
        <v>5</v>
      </c>
      <c r="K56" s="10">
        <v>1728828783</v>
      </c>
      <c r="L56" s="10">
        <v>288</v>
      </c>
      <c r="M56" s="10">
        <v>20250938282</v>
      </c>
      <c r="N56" s="10">
        <v>584</v>
      </c>
      <c r="O56" s="11">
        <v>51230275086.060005</v>
      </c>
    </row>
    <row r="57" spans="1:15" x14ac:dyDescent="0.3">
      <c r="A57" s="12" t="s">
        <v>65</v>
      </c>
      <c r="B57" s="13">
        <v>60</v>
      </c>
      <c r="C57" s="13">
        <v>3863668757</v>
      </c>
      <c r="D57" s="14">
        <v>3</v>
      </c>
      <c r="E57" s="14">
        <v>38118837</v>
      </c>
      <c r="F57" s="14">
        <v>2</v>
      </c>
      <c r="G57" s="14">
        <v>33660651</v>
      </c>
      <c r="H57" s="14">
        <v>13</v>
      </c>
      <c r="I57" s="14">
        <v>276815140</v>
      </c>
      <c r="J57" s="14"/>
      <c r="K57" s="14"/>
      <c r="L57" s="14">
        <v>62</v>
      </c>
      <c r="M57" s="14">
        <v>3199523455</v>
      </c>
      <c r="N57" s="14">
        <v>140</v>
      </c>
      <c r="O57" s="15">
        <v>7411786840</v>
      </c>
    </row>
    <row r="58" spans="1:15" x14ac:dyDescent="0.3">
      <c r="A58" s="12" t="s">
        <v>66</v>
      </c>
      <c r="B58" s="13">
        <v>57</v>
      </c>
      <c r="C58" s="13">
        <v>4977578691.3999996</v>
      </c>
      <c r="D58" s="14"/>
      <c r="E58" s="14"/>
      <c r="F58" s="14">
        <v>5</v>
      </c>
      <c r="G58" s="14">
        <v>167591883</v>
      </c>
      <c r="H58" s="14">
        <v>6</v>
      </c>
      <c r="I58" s="14">
        <v>349064716</v>
      </c>
      <c r="J58" s="14"/>
      <c r="K58" s="14"/>
      <c r="L58" s="14">
        <v>98</v>
      </c>
      <c r="M58" s="14">
        <v>5077245166</v>
      </c>
      <c r="N58" s="14">
        <v>166</v>
      </c>
      <c r="O58" s="15">
        <v>10571480456.4</v>
      </c>
    </row>
    <row r="59" spans="1:15" x14ac:dyDescent="0.3">
      <c r="A59" s="12" t="s">
        <v>67</v>
      </c>
      <c r="B59" s="13">
        <v>67</v>
      </c>
      <c r="C59" s="13">
        <v>7113105479</v>
      </c>
      <c r="D59" s="14"/>
      <c r="E59" s="14"/>
      <c r="F59" s="14">
        <v>2</v>
      </c>
      <c r="G59" s="14">
        <v>150652428</v>
      </c>
      <c r="H59" s="14">
        <v>2</v>
      </c>
      <c r="I59" s="14">
        <v>209934065.47999999</v>
      </c>
      <c r="J59" s="14">
        <v>2</v>
      </c>
      <c r="K59" s="14">
        <v>478716834</v>
      </c>
      <c r="L59" s="14">
        <v>52</v>
      </c>
      <c r="M59" s="14">
        <v>4046036722</v>
      </c>
      <c r="N59" s="14">
        <v>125</v>
      </c>
      <c r="O59" s="15">
        <v>11998445528.48</v>
      </c>
    </row>
    <row r="60" spans="1:15" x14ac:dyDescent="0.3">
      <c r="A60" s="12" t="s">
        <v>68</v>
      </c>
      <c r="B60" s="13">
        <v>17</v>
      </c>
      <c r="C60" s="13">
        <v>3139781629</v>
      </c>
      <c r="D60" s="14"/>
      <c r="E60" s="14"/>
      <c r="F60" s="14">
        <v>1</v>
      </c>
      <c r="G60" s="14">
        <v>6002365</v>
      </c>
      <c r="H60" s="14">
        <v>4</v>
      </c>
      <c r="I60" s="14">
        <v>1198193474</v>
      </c>
      <c r="J60" s="14">
        <v>3</v>
      </c>
      <c r="K60" s="14">
        <v>1250111949</v>
      </c>
      <c r="L60" s="14">
        <v>30</v>
      </c>
      <c r="M60" s="14">
        <v>4021388920</v>
      </c>
      <c r="N60" s="14">
        <v>55</v>
      </c>
      <c r="O60" s="15">
        <v>9615478337</v>
      </c>
    </row>
    <row r="61" spans="1:15" x14ac:dyDescent="0.3">
      <c r="A61" s="12" t="s">
        <v>69</v>
      </c>
      <c r="B61" s="13">
        <v>34</v>
      </c>
      <c r="C61" s="13">
        <v>4941171502.1800003</v>
      </c>
      <c r="D61" s="14">
        <v>4</v>
      </c>
      <c r="E61" s="14">
        <v>491138857</v>
      </c>
      <c r="F61" s="14">
        <v>9</v>
      </c>
      <c r="G61" s="14">
        <v>1573557376</v>
      </c>
      <c r="H61" s="14">
        <v>5</v>
      </c>
      <c r="I61" s="14">
        <v>720472170</v>
      </c>
      <c r="J61" s="14"/>
      <c r="K61" s="14"/>
      <c r="L61" s="14">
        <v>46</v>
      </c>
      <c r="M61" s="14">
        <v>3906744019</v>
      </c>
      <c r="N61" s="14">
        <v>98</v>
      </c>
      <c r="O61" s="15">
        <v>11633083924.18</v>
      </c>
    </row>
    <row r="62" spans="1:15" x14ac:dyDescent="0.3">
      <c r="A62" s="4" t="s">
        <v>70</v>
      </c>
      <c r="B62" s="5">
        <v>2612</v>
      </c>
      <c r="C62" s="5">
        <v>314267187535.48004</v>
      </c>
      <c r="D62" s="6">
        <v>68</v>
      </c>
      <c r="E62" s="6">
        <v>5464586876</v>
      </c>
      <c r="F62" s="6">
        <v>439</v>
      </c>
      <c r="G62" s="6">
        <v>68700762775.300003</v>
      </c>
      <c r="H62" s="6">
        <v>183</v>
      </c>
      <c r="I62" s="6">
        <v>19491252381.209999</v>
      </c>
      <c r="J62" s="6">
        <v>26</v>
      </c>
      <c r="K62" s="6">
        <v>14134267399</v>
      </c>
      <c r="L62" s="6">
        <v>1064</v>
      </c>
      <c r="M62" s="6">
        <v>141365102461.66998</v>
      </c>
      <c r="N62" s="6">
        <v>4392</v>
      </c>
      <c r="O62" s="7">
        <v>563423159428.66003</v>
      </c>
    </row>
    <row r="63" spans="1:15" x14ac:dyDescent="0.3">
      <c r="A63" s="8" t="s">
        <v>71</v>
      </c>
      <c r="B63" s="9">
        <v>330</v>
      </c>
      <c r="C63" s="9">
        <v>54850984295.000008</v>
      </c>
      <c r="D63" s="10">
        <v>7</v>
      </c>
      <c r="E63" s="10">
        <v>291701059</v>
      </c>
      <c r="F63" s="10">
        <v>48</v>
      </c>
      <c r="G63" s="10">
        <v>3032309651</v>
      </c>
      <c r="H63" s="10">
        <v>38</v>
      </c>
      <c r="I63" s="10">
        <v>2323763939</v>
      </c>
      <c r="J63" s="10">
        <v>1</v>
      </c>
      <c r="K63" s="10">
        <v>35578995</v>
      </c>
      <c r="L63" s="10">
        <v>233</v>
      </c>
      <c r="M63" s="10">
        <v>19656265795.739998</v>
      </c>
      <c r="N63" s="10">
        <v>657</v>
      </c>
      <c r="O63" s="11">
        <v>80190603734.740005</v>
      </c>
    </row>
    <row r="64" spans="1:15" x14ac:dyDescent="0.3">
      <c r="A64" s="12" t="s">
        <v>72</v>
      </c>
      <c r="B64" s="13">
        <v>46</v>
      </c>
      <c r="C64" s="13">
        <v>3838122590.1599998</v>
      </c>
      <c r="D64" s="14">
        <v>2</v>
      </c>
      <c r="E64" s="14">
        <v>117606831</v>
      </c>
      <c r="F64" s="14">
        <v>5</v>
      </c>
      <c r="G64" s="14">
        <v>611290113</v>
      </c>
      <c r="H64" s="14">
        <v>10</v>
      </c>
      <c r="I64" s="14">
        <v>1214722630</v>
      </c>
      <c r="J64" s="14"/>
      <c r="K64" s="14"/>
      <c r="L64" s="14">
        <v>55</v>
      </c>
      <c r="M64" s="14">
        <v>6630025890</v>
      </c>
      <c r="N64" s="14">
        <v>118</v>
      </c>
      <c r="O64" s="15">
        <v>12411768054.16</v>
      </c>
    </row>
    <row r="65" spans="1:15" x14ac:dyDescent="0.3">
      <c r="A65" s="12" t="s">
        <v>73</v>
      </c>
      <c r="B65" s="13">
        <v>140</v>
      </c>
      <c r="C65" s="13">
        <v>12890289047</v>
      </c>
      <c r="D65" s="14">
        <v>3</v>
      </c>
      <c r="E65" s="14">
        <v>18572898</v>
      </c>
      <c r="F65" s="14">
        <v>12</v>
      </c>
      <c r="G65" s="14">
        <v>474532687</v>
      </c>
      <c r="H65" s="14">
        <v>11</v>
      </c>
      <c r="I65" s="14">
        <v>97001470</v>
      </c>
      <c r="J65" s="14"/>
      <c r="K65" s="14"/>
      <c r="L65" s="14">
        <v>79</v>
      </c>
      <c r="M65" s="14">
        <v>4124015310.7399998</v>
      </c>
      <c r="N65" s="14">
        <v>245</v>
      </c>
      <c r="O65" s="15">
        <v>17604411412.739998</v>
      </c>
    </row>
    <row r="66" spans="1:15" x14ac:dyDescent="0.3">
      <c r="A66" s="12" t="s">
        <v>74</v>
      </c>
      <c r="B66" s="13">
        <v>144</v>
      </c>
      <c r="C66" s="13">
        <v>38122572657.840004</v>
      </c>
      <c r="D66" s="14">
        <v>2</v>
      </c>
      <c r="E66" s="14">
        <v>155521330</v>
      </c>
      <c r="F66" s="14">
        <v>31</v>
      </c>
      <c r="G66" s="14">
        <v>1946486851</v>
      </c>
      <c r="H66" s="14">
        <v>17</v>
      </c>
      <c r="I66" s="14">
        <v>1012039839</v>
      </c>
      <c r="J66" s="14">
        <v>1</v>
      </c>
      <c r="K66" s="14">
        <v>35578995</v>
      </c>
      <c r="L66" s="14">
        <v>99</v>
      </c>
      <c r="M66" s="14">
        <v>8902224595</v>
      </c>
      <c r="N66" s="14">
        <v>294</v>
      </c>
      <c r="O66" s="15">
        <v>50174424267.840004</v>
      </c>
    </row>
    <row r="67" spans="1:15" x14ac:dyDescent="0.3">
      <c r="A67" s="8" t="s">
        <v>75</v>
      </c>
      <c r="B67" s="9">
        <v>348</v>
      </c>
      <c r="C67" s="9">
        <v>22279458312.389999</v>
      </c>
      <c r="D67" s="10">
        <v>5</v>
      </c>
      <c r="E67" s="10">
        <v>27149683</v>
      </c>
      <c r="F67" s="10">
        <v>12</v>
      </c>
      <c r="G67" s="10">
        <v>633738979</v>
      </c>
      <c r="H67" s="10">
        <v>19</v>
      </c>
      <c r="I67" s="10">
        <v>116570664</v>
      </c>
      <c r="J67" s="10">
        <v>2</v>
      </c>
      <c r="K67" s="10">
        <v>443771667</v>
      </c>
      <c r="L67" s="10">
        <v>165</v>
      </c>
      <c r="M67" s="10">
        <v>8018662539</v>
      </c>
      <c r="N67" s="10">
        <v>551</v>
      </c>
      <c r="O67" s="11">
        <v>31519351844.389999</v>
      </c>
    </row>
    <row r="68" spans="1:15" x14ac:dyDescent="0.3">
      <c r="A68" s="12" t="s">
        <v>76</v>
      </c>
      <c r="B68" s="13">
        <v>256</v>
      </c>
      <c r="C68" s="13">
        <v>16599889054</v>
      </c>
      <c r="D68" s="14">
        <v>3</v>
      </c>
      <c r="E68" s="14">
        <v>4494418</v>
      </c>
      <c r="F68" s="14">
        <v>4</v>
      </c>
      <c r="G68" s="14">
        <v>216166293</v>
      </c>
      <c r="H68" s="14">
        <v>12</v>
      </c>
      <c r="I68" s="14">
        <v>75758679</v>
      </c>
      <c r="J68" s="14">
        <v>2</v>
      </c>
      <c r="K68" s="14">
        <v>443771667</v>
      </c>
      <c r="L68" s="14">
        <v>129</v>
      </c>
      <c r="M68" s="14">
        <v>7156560769</v>
      </c>
      <c r="N68" s="14">
        <v>406</v>
      </c>
      <c r="O68" s="15">
        <v>24496640880</v>
      </c>
    </row>
    <row r="69" spans="1:15" s="16" customFormat="1" ht="16.5" customHeight="1" x14ac:dyDescent="0.3">
      <c r="A69" s="12" t="s">
        <v>77</v>
      </c>
      <c r="B69" s="13">
        <v>92</v>
      </c>
      <c r="C69" s="13">
        <v>5679569258.3900003</v>
      </c>
      <c r="D69" s="14">
        <v>2</v>
      </c>
      <c r="E69" s="14">
        <v>22655265</v>
      </c>
      <c r="F69" s="14">
        <v>8</v>
      </c>
      <c r="G69" s="14">
        <v>417572686</v>
      </c>
      <c r="H69" s="14">
        <v>7</v>
      </c>
      <c r="I69" s="14">
        <v>40811985</v>
      </c>
      <c r="J69" s="14"/>
      <c r="K69" s="14"/>
      <c r="L69" s="14">
        <v>36</v>
      </c>
      <c r="M69" s="14">
        <v>862101770</v>
      </c>
      <c r="N69" s="14">
        <v>145</v>
      </c>
      <c r="O69" s="15">
        <v>7022710964.3900003</v>
      </c>
    </row>
    <row r="70" spans="1:15" s="16" customFormat="1" ht="16.5" customHeight="1" x14ac:dyDescent="0.3">
      <c r="A70" s="8" t="s">
        <v>78</v>
      </c>
      <c r="B70" s="9">
        <v>639</v>
      </c>
      <c r="C70" s="9">
        <v>66112741443.82</v>
      </c>
      <c r="D70" s="10">
        <v>15</v>
      </c>
      <c r="E70" s="10">
        <v>2622854437</v>
      </c>
      <c r="F70" s="10">
        <v>295</v>
      </c>
      <c r="G70" s="10">
        <v>58794783115</v>
      </c>
      <c r="H70" s="10">
        <v>75</v>
      </c>
      <c r="I70" s="10">
        <v>14457160776.209999</v>
      </c>
      <c r="J70" s="10">
        <v>23</v>
      </c>
      <c r="K70" s="10">
        <v>13654916737</v>
      </c>
      <c r="L70" s="10">
        <v>370</v>
      </c>
      <c r="M70" s="10">
        <v>102053509508.58</v>
      </c>
      <c r="N70" s="10">
        <v>1417</v>
      </c>
      <c r="O70" s="11">
        <v>257695966017.61002</v>
      </c>
    </row>
    <row r="71" spans="1:15" s="16" customFormat="1" ht="16.5" customHeight="1" x14ac:dyDescent="0.3">
      <c r="A71" s="12" t="s">
        <v>79</v>
      </c>
      <c r="B71" s="13">
        <v>311</v>
      </c>
      <c r="C71" s="13">
        <v>37996579089</v>
      </c>
      <c r="D71" s="14">
        <v>6</v>
      </c>
      <c r="E71" s="14">
        <v>1974857165</v>
      </c>
      <c r="F71" s="14">
        <v>223</v>
      </c>
      <c r="G71" s="14">
        <v>45229087486</v>
      </c>
      <c r="H71" s="14">
        <v>46</v>
      </c>
      <c r="I71" s="14">
        <v>9656842470.2099991</v>
      </c>
      <c r="J71" s="14">
        <v>20</v>
      </c>
      <c r="K71" s="14">
        <v>12943676708</v>
      </c>
      <c r="L71" s="14">
        <v>203</v>
      </c>
      <c r="M71" s="14">
        <v>66544186289.839996</v>
      </c>
      <c r="N71" s="14">
        <v>809</v>
      </c>
      <c r="O71" s="15">
        <v>174345229208.05002</v>
      </c>
    </row>
    <row r="72" spans="1:15" s="16" customFormat="1" ht="16.5" customHeight="1" x14ac:dyDescent="0.3">
      <c r="A72" s="12" t="s">
        <v>80</v>
      </c>
      <c r="B72" s="13">
        <v>328</v>
      </c>
      <c r="C72" s="13">
        <v>28116162354.82</v>
      </c>
      <c r="D72" s="14">
        <v>9</v>
      </c>
      <c r="E72" s="14">
        <v>647997272</v>
      </c>
      <c r="F72" s="14">
        <v>72</v>
      </c>
      <c r="G72" s="14">
        <v>13565695629</v>
      </c>
      <c r="H72" s="14">
        <v>29</v>
      </c>
      <c r="I72" s="14">
        <v>4800318306</v>
      </c>
      <c r="J72" s="14">
        <v>3</v>
      </c>
      <c r="K72" s="14">
        <v>711240029</v>
      </c>
      <c r="L72" s="14">
        <v>167</v>
      </c>
      <c r="M72" s="14">
        <v>35509323218.739998</v>
      </c>
      <c r="N72" s="14">
        <v>608</v>
      </c>
      <c r="O72" s="15">
        <v>83350736809.559998</v>
      </c>
    </row>
    <row r="73" spans="1:15" s="16" customFormat="1" ht="16.5" customHeight="1" x14ac:dyDescent="0.3">
      <c r="A73" s="8" t="s">
        <v>81</v>
      </c>
      <c r="B73" s="9">
        <v>1295</v>
      </c>
      <c r="C73" s="9">
        <v>171024003484.26999</v>
      </c>
      <c r="D73" s="10">
        <v>41</v>
      </c>
      <c r="E73" s="10">
        <v>2522881697</v>
      </c>
      <c r="F73" s="10">
        <v>84</v>
      </c>
      <c r="G73" s="10">
        <v>6239931030.3000002</v>
      </c>
      <c r="H73" s="10">
        <v>51</v>
      </c>
      <c r="I73" s="10">
        <v>2593757002</v>
      </c>
      <c r="J73" s="10"/>
      <c r="K73" s="10"/>
      <c r="L73" s="10">
        <v>296</v>
      </c>
      <c r="M73" s="10">
        <v>11636664618.35</v>
      </c>
      <c r="N73" s="10">
        <v>1767</v>
      </c>
      <c r="O73" s="11">
        <v>194017237831.92001</v>
      </c>
    </row>
    <row r="74" spans="1:15" s="16" customFormat="1" ht="16.5" customHeight="1" x14ac:dyDescent="0.3">
      <c r="A74" s="12" t="s">
        <v>82</v>
      </c>
      <c r="B74" s="13">
        <v>452</v>
      </c>
      <c r="C74" s="13">
        <v>74039258800.269989</v>
      </c>
      <c r="D74" s="14">
        <v>25</v>
      </c>
      <c r="E74" s="14">
        <v>1633662704</v>
      </c>
      <c r="F74" s="14">
        <v>33</v>
      </c>
      <c r="G74" s="14">
        <v>2412926137.3000002</v>
      </c>
      <c r="H74" s="14">
        <v>21</v>
      </c>
      <c r="I74" s="14">
        <v>759211921</v>
      </c>
      <c r="J74" s="14"/>
      <c r="K74" s="14"/>
      <c r="L74" s="14">
        <v>127</v>
      </c>
      <c r="M74" s="14">
        <v>6223812873.4099998</v>
      </c>
      <c r="N74" s="14">
        <v>658</v>
      </c>
      <c r="O74" s="15">
        <v>85068872435.979996</v>
      </c>
    </row>
    <row r="75" spans="1:15" s="16" customFormat="1" ht="16.5" customHeight="1" x14ac:dyDescent="0.3">
      <c r="A75" s="12" t="s">
        <v>83</v>
      </c>
      <c r="B75" s="13">
        <v>573</v>
      </c>
      <c r="C75" s="13">
        <v>63886777162</v>
      </c>
      <c r="D75" s="14">
        <v>9</v>
      </c>
      <c r="E75" s="14">
        <v>646686420</v>
      </c>
      <c r="F75" s="14">
        <v>26</v>
      </c>
      <c r="G75" s="14">
        <v>1724608367</v>
      </c>
      <c r="H75" s="14">
        <v>12</v>
      </c>
      <c r="I75" s="14">
        <v>865437476</v>
      </c>
      <c r="J75" s="14"/>
      <c r="K75" s="14"/>
      <c r="L75" s="14">
        <v>81</v>
      </c>
      <c r="M75" s="14">
        <v>2906125064.9000001</v>
      </c>
      <c r="N75" s="14">
        <v>701</v>
      </c>
      <c r="O75" s="15">
        <v>70029634489.899994</v>
      </c>
    </row>
    <row r="76" spans="1:15" s="16" customFormat="1" ht="16.5" customHeight="1" x14ac:dyDescent="0.3">
      <c r="A76" s="12" t="s">
        <v>84</v>
      </c>
      <c r="B76" s="13">
        <v>270</v>
      </c>
      <c r="C76" s="13">
        <v>33097967522</v>
      </c>
      <c r="D76" s="14">
        <v>7</v>
      </c>
      <c r="E76" s="14">
        <v>242532573</v>
      </c>
      <c r="F76" s="14">
        <v>25</v>
      </c>
      <c r="G76" s="14">
        <v>2102396526</v>
      </c>
      <c r="H76" s="14">
        <v>18</v>
      </c>
      <c r="I76" s="14">
        <v>969107605</v>
      </c>
      <c r="J76" s="14"/>
      <c r="K76" s="14"/>
      <c r="L76" s="14">
        <v>88</v>
      </c>
      <c r="M76" s="14">
        <v>2506726680.04</v>
      </c>
      <c r="N76" s="14">
        <v>408</v>
      </c>
      <c r="O76" s="15">
        <v>38918730906.040001</v>
      </c>
    </row>
    <row r="77" spans="1:15" s="16" customFormat="1" ht="16.5" customHeight="1" x14ac:dyDescent="0.3">
      <c r="A77" s="4" t="s">
        <v>85</v>
      </c>
      <c r="B77" s="5">
        <v>1777</v>
      </c>
      <c r="C77" s="5">
        <v>290014967610.46008</v>
      </c>
      <c r="D77" s="6">
        <v>55</v>
      </c>
      <c r="E77" s="6">
        <v>5185228755</v>
      </c>
      <c r="F77" s="6">
        <v>146</v>
      </c>
      <c r="G77" s="6">
        <v>13748830703.5</v>
      </c>
      <c r="H77" s="6">
        <v>118</v>
      </c>
      <c r="I77" s="6">
        <v>12066046410.32</v>
      </c>
      <c r="J77" s="6">
        <v>16</v>
      </c>
      <c r="K77" s="6">
        <v>5279888691.8599997</v>
      </c>
      <c r="L77" s="6">
        <v>708</v>
      </c>
      <c r="M77" s="6">
        <v>74941113166.150009</v>
      </c>
      <c r="N77" s="6">
        <v>2820</v>
      </c>
      <c r="O77" s="7">
        <v>401236075337.29004</v>
      </c>
    </row>
    <row r="78" spans="1:15" ht="16.5" customHeight="1" x14ac:dyDescent="0.3">
      <c r="A78" s="8" t="s">
        <v>86</v>
      </c>
      <c r="B78" s="9">
        <v>963</v>
      </c>
      <c r="C78" s="9">
        <v>189109479126.92004</v>
      </c>
      <c r="D78" s="10">
        <v>17</v>
      </c>
      <c r="E78" s="10">
        <v>918666165</v>
      </c>
      <c r="F78" s="10">
        <v>42</v>
      </c>
      <c r="G78" s="10">
        <v>2673501208.5</v>
      </c>
      <c r="H78" s="10">
        <v>73</v>
      </c>
      <c r="I78" s="10">
        <v>7770763714.3199997</v>
      </c>
      <c r="J78" s="10">
        <v>14</v>
      </c>
      <c r="K78" s="10">
        <v>4633094895</v>
      </c>
      <c r="L78" s="10">
        <v>427</v>
      </c>
      <c r="M78" s="10">
        <v>52144786914.969994</v>
      </c>
      <c r="N78" s="10">
        <v>1536</v>
      </c>
      <c r="O78" s="11">
        <v>257250292024.71002</v>
      </c>
    </row>
    <row r="79" spans="1:15" ht="16.5" customHeight="1" x14ac:dyDescent="0.3">
      <c r="A79" s="12" t="s">
        <v>87</v>
      </c>
      <c r="B79" s="13">
        <v>192</v>
      </c>
      <c r="C79" s="13">
        <v>54395427665.160004</v>
      </c>
      <c r="D79" s="14">
        <v>1</v>
      </c>
      <c r="E79" s="14">
        <v>55211738</v>
      </c>
      <c r="F79" s="14">
        <v>3</v>
      </c>
      <c r="G79" s="14">
        <v>117821516</v>
      </c>
      <c r="H79" s="14">
        <v>15</v>
      </c>
      <c r="I79" s="14">
        <v>2690191814.6199999</v>
      </c>
      <c r="J79" s="14">
        <v>7</v>
      </c>
      <c r="K79" s="14">
        <v>1993415588</v>
      </c>
      <c r="L79" s="14">
        <v>108</v>
      </c>
      <c r="M79" s="14">
        <v>25685178769.239998</v>
      </c>
      <c r="N79" s="14">
        <v>326</v>
      </c>
      <c r="O79" s="15">
        <v>84937247091.020004</v>
      </c>
    </row>
    <row r="80" spans="1:15" ht="16.5" customHeight="1" x14ac:dyDescent="0.3">
      <c r="A80" s="12" t="s">
        <v>88</v>
      </c>
      <c r="B80" s="13">
        <v>484</v>
      </c>
      <c r="C80" s="13">
        <v>102053420288.39</v>
      </c>
      <c r="D80" s="14">
        <v>6</v>
      </c>
      <c r="E80" s="14">
        <v>232139037</v>
      </c>
      <c r="F80" s="14">
        <v>17</v>
      </c>
      <c r="G80" s="14">
        <v>808009034</v>
      </c>
      <c r="H80" s="14">
        <v>29</v>
      </c>
      <c r="I80" s="14">
        <v>2919928684.6999998</v>
      </c>
      <c r="J80" s="14">
        <v>6</v>
      </c>
      <c r="K80" s="14">
        <v>2227077572</v>
      </c>
      <c r="L80" s="14">
        <v>117</v>
      </c>
      <c r="M80" s="14">
        <v>14329631133.530001</v>
      </c>
      <c r="N80" s="14">
        <v>659</v>
      </c>
      <c r="O80" s="15">
        <v>122570205749.62001</v>
      </c>
    </row>
    <row r="81" spans="1:15" ht="16.5" customHeight="1" x14ac:dyDescent="0.3">
      <c r="A81" s="12" t="s">
        <v>89</v>
      </c>
      <c r="B81" s="13">
        <v>197</v>
      </c>
      <c r="C81" s="13">
        <v>23756244449.669998</v>
      </c>
      <c r="D81" s="14">
        <v>9</v>
      </c>
      <c r="E81" s="14">
        <v>546906086</v>
      </c>
      <c r="F81" s="14">
        <v>15</v>
      </c>
      <c r="G81" s="14">
        <v>1232289569.5</v>
      </c>
      <c r="H81" s="14">
        <v>17</v>
      </c>
      <c r="I81" s="14">
        <v>1404653812</v>
      </c>
      <c r="J81" s="14">
        <v>1</v>
      </c>
      <c r="K81" s="14">
        <v>412601735</v>
      </c>
      <c r="L81" s="14">
        <v>94</v>
      </c>
      <c r="M81" s="14">
        <v>5716591025.0600004</v>
      </c>
      <c r="N81" s="14">
        <v>333</v>
      </c>
      <c r="O81" s="15">
        <v>33069286677.23</v>
      </c>
    </row>
    <row r="82" spans="1:15" ht="16.5" customHeight="1" x14ac:dyDescent="0.3">
      <c r="A82" s="12" t="s">
        <v>90</v>
      </c>
      <c r="B82" s="13">
        <v>90</v>
      </c>
      <c r="C82" s="13">
        <v>8904386723.7000008</v>
      </c>
      <c r="D82" s="14">
        <v>1</v>
      </c>
      <c r="E82" s="14">
        <v>84409304</v>
      </c>
      <c r="F82" s="14">
        <v>7</v>
      </c>
      <c r="G82" s="14">
        <v>515381089</v>
      </c>
      <c r="H82" s="14">
        <v>12</v>
      </c>
      <c r="I82" s="14">
        <v>755989403</v>
      </c>
      <c r="J82" s="14"/>
      <c r="K82" s="14"/>
      <c r="L82" s="14">
        <v>108</v>
      </c>
      <c r="M82" s="14">
        <v>6413385987.1399994</v>
      </c>
      <c r="N82" s="14">
        <v>218</v>
      </c>
      <c r="O82" s="15">
        <v>16673552506.84</v>
      </c>
    </row>
    <row r="83" spans="1:15" ht="16.5" customHeight="1" x14ac:dyDescent="0.3">
      <c r="A83" s="8" t="s">
        <v>91</v>
      </c>
      <c r="B83" s="9">
        <v>814</v>
      </c>
      <c r="C83" s="9">
        <v>100905488483.53999</v>
      </c>
      <c r="D83" s="10">
        <v>38</v>
      </c>
      <c r="E83" s="10">
        <v>4266562590</v>
      </c>
      <c r="F83" s="10">
        <v>104</v>
      </c>
      <c r="G83" s="10">
        <v>11075329495</v>
      </c>
      <c r="H83" s="10">
        <v>45</v>
      </c>
      <c r="I83" s="10">
        <v>4295282696</v>
      </c>
      <c r="J83" s="10">
        <v>2</v>
      </c>
      <c r="K83" s="10">
        <v>646793796.86000013</v>
      </c>
      <c r="L83" s="10">
        <v>281</v>
      </c>
      <c r="M83" s="10">
        <v>22796326251.18</v>
      </c>
      <c r="N83" s="10">
        <v>1284</v>
      </c>
      <c r="O83" s="11">
        <v>143985783312.57999</v>
      </c>
    </row>
    <row r="84" spans="1:15" ht="16.5" customHeight="1" x14ac:dyDescent="0.3">
      <c r="A84" s="12" t="s">
        <v>92</v>
      </c>
      <c r="B84" s="13">
        <v>113</v>
      </c>
      <c r="C84" s="13">
        <v>15759001121.700001</v>
      </c>
      <c r="D84" s="14">
        <v>1</v>
      </c>
      <c r="E84" s="14">
        <v>51099587</v>
      </c>
      <c r="F84" s="14">
        <v>11</v>
      </c>
      <c r="G84" s="14">
        <v>1128332851</v>
      </c>
      <c r="H84" s="14">
        <v>8</v>
      </c>
      <c r="I84" s="14">
        <v>564897346</v>
      </c>
      <c r="J84" s="14">
        <v>2</v>
      </c>
      <c r="K84" s="14">
        <v>646793796.86000013</v>
      </c>
      <c r="L84" s="14">
        <v>58</v>
      </c>
      <c r="M84" s="14">
        <v>5914030884</v>
      </c>
      <c r="N84" s="14">
        <v>193</v>
      </c>
      <c r="O84" s="15">
        <v>24064155586.560001</v>
      </c>
    </row>
    <row r="85" spans="1:15" ht="16.5" customHeight="1" x14ac:dyDescent="0.3">
      <c r="A85" s="12" t="s">
        <v>93</v>
      </c>
      <c r="B85" s="13">
        <v>336</v>
      </c>
      <c r="C85" s="13">
        <v>45171034881</v>
      </c>
      <c r="D85" s="14">
        <v>31</v>
      </c>
      <c r="E85" s="14">
        <v>3924256381</v>
      </c>
      <c r="F85" s="14">
        <v>41</v>
      </c>
      <c r="G85" s="14">
        <v>4940787687</v>
      </c>
      <c r="H85" s="14">
        <v>7</v>
      </c>
      <c r="I85" s="14">
        <v>349733698</v>
      </c>
      <c r="J85" s="14"/>
      <c r="K85" s="14"/>
      <c r="L85" s="14">
        <v>63</v>
      </c>
      <c r="M85" s="14">
        <v>4872806986</v>
      </c>
      <c r="N85" s="14">
        <v>478</v>
      </c>
      <c r="O85" s="15">
        <v>59258619633</v>
      </c>
    </row>
    <row r="86" spans="1:15" ht="16.5" customHeight="1" x14ac:dyDescent="0.3">
      <c r="A86" s="12" t="s">
        <v>94</v>
      </c>
      <c r="B86" s="13">
        <v>50</v>
      </c>
      <c r="C86" s="13">
        <v>9378205713</v>
      </c>
      <c r="D86" s="14">
        <v>2</v>
      </c>
      <c r="E86" s="14">
        <v>220372446</v>
      </c>
      <c r="F86" s="14">
        <v>34</v>
      </c>
      <c r="G86" s="14">
        <v>3733594884</v>
      </c>
      <c r="H86" s="14">
        <v>15</v>
      </c>
      <c r="I86" s="14">
        <v>2611567634</v>
      </c>
      <c r="J86" s="14"/>
      <c r="K86" s="14"/>
      <c r="L86" s="14">
        <v>23</v>
      </c>
      <c r="M86" s="14">
        <v>4944489904</v>
      </c>
      <c r="N86" s="14">
        <v>124</v>
      </c>
      <c r="O86" s="15">
        <v>20888230581</v>
      </c>
    </row>
    <row r="87" spans="1:15" ht="16.5" customHeight="1" x14ac:dyDescent="0.3">
      <c r="A87" s="12" t="s">
        <v>95</v>
      </c>
      <c r="B87" s="13">
        <v>315</v>
      </c>
      <c r="C87" s="13">
        <v>30597246767.84</v>
      </c>
      <c r="D87" s="14">
        <v>4</v>
      </c>
      <c r="E87" s="14">
        <v>70834176</v>
      </c>
      <c r="F87" s="14">
        <v>18</v>
      </c>
      <c r="G87" s="14">
        <v>1272614073</v>
      </c>
      <c r="H87" s="14">
        <v>15</v>
      </c>
      <c r="I87" s="14">
        <v>769084018</v>
      </c>
      <c r="J87" s="14"/>
      <c r="K87" s="14"/>
      <c r="L87" s="14">
        <v>137</v>
      </c>
      <c r="M87" s="14">
        <v>7064998477.1800003</v>
      </c>
      <c r="N87" s="14">
        <v>489</v>
      </c>
      <c r="O87" s="15">
        <v>39774777512.019997</v>
      </c>
    </row>
    <row r="88" spans="1:15" ht="16.5" customHeight="1" x14ac:dyDescent="0.3">
      <c r="A88" s="4" t="s">
        <v>96</v>
      </c>
      <c r="B88" s="5">
        <v>568</v>
      </c>
      <c r="C88" s="5">
        <v>47459690442.380005</v>
      </c>
      <c r="D88" s="6">
        <v>11</v>
      </c>
      <c r="E88" s="6">
        <v>522358414</v>
      </c>
      <c r="F88" s="6">
        <v>43</v>
      </c>
      <c r="G88" s="6">
        <v>1773264545</v>
      </c>
      <c r="H88" s="6">
        <v>210</v>
      </c>
      <c r="I88" s="6">
        <v>14468127554.710001</v>
      </c>
      <c r="J88" s="6">
        <v>9</v>
      </c>
      <c r="K88" s="6">
        <v>1191720229</v>
      </c>
      <c r="L88" s="6">
        <v>1927</v>
      </c>
      <c r="M88" s="6">
        <v>132930418736.93001</v>
      </c>
      <c r="N88" s="6">
        <v>2768</v>
      </c>
      <c r="O88" s="7">
        <v>198345579922.02002</v>
      </c>
    </row>
    <row r="89" spans="1:15" ht="16.5" customHeight="1" x14ac:dyDescent="0.3">
      <c r="A89" s="8" t="s">
        <v>97</v>
      </c>
      <c r="B89" s="9">
        <v>47</v>
      </c>
      <c r="C89" s="9">
        <v>5710816041.4899998</v>
      </c>
      <c r="D89" s="10">
        <v>3</v>
      </c>
      <c r="E89" s="10">
        <v>271548342</v>
      </c>
      <c r="F89" s="10"/>
      <c r="G89" s="10"/>
      <c r="H89" s="10">
        <v>13</v>
      </c>
      <c r="I89" s="10">
        <v>918233614.85000002</v>
      </c>
      <c r="J89" s="10">
        <v>4</v>
      </c>
      <c r="K89" s="10">
        <v>993520734</v>
      </c>
      <c r="L89" s="10">
        <v>223</v>
      </c>
      <c r="M89" s="10">
        <v>29003898449.209999</v>
      </c>
      <c r="N89" s="10">
        <v>290</v>
      </c>
      <c r="O89" s="11">
        <v>36898017181.550003</v>
      </c>
    </row>
    <row r="90" spans="1:15" ht="16.5" customHeight="1" x14ac:dyDescent="0.3">
      <c r="A90" s="12" t="s">
        <v>98</v>
      </c>
      <c r="B90" s="13">
        <v>21</v>
      </c>
      <c r="C90" s="13">
        <v>1911660093.78</v>
      </c>
      <c r="D90" s="14">
        <v>1</v>
      </c>
      <c r="E90" s="14">
        <v>12836610</v>
      </c>
      <c r="F90" s="14"/>
      <c r="G90" s="14"/>
      <c r="H90" s="14">
        <v>4</v>
      </c>
      <c r="I90" s="14">
        <v>398174202</v>
      </c>
      <c r="J90" s="14">
        <v>1</v>
      </c>
      <c r="K90" s="14">
        <v>657442063</v>
      </c>
      <c r="L90" s="14">
        <v>75</v>
      </c>
      <c r="M90" s="14">
        <v>10041631654.82</v>
      </c>
      <c r="N90" s="14">
        <v>102</v>
      </c>
      <c r="O90" s="15">
        <v>13021744623.599998</v>
      </c>
    </row>
    <row r="91" spans="1:15" ht="16.5" customHeight="1" x14ac:dyDescent="0.3">
      <c r="A91" s="12" t="s">
        <v>99</v>
      </c>
      <c r="B91" s="13">
        <v>26</v>
      </c>
      <c r="C91" s="13">
        <v>3799155947.71</v>
      </c>
      <c r="D91" s="14">
        <v>2</v>
      </c>
      <c r="E91" s="14">
        <v>258711732</v>
      </c>
      <c r="F91" s="14"/>
      <c r="G91" s="14"/>
      <c r="H91" s="14">
        <v>9</v>
      </c>
      <c r="I91" s="14">
        <v>520059412.85000002</v>
      </c>
      <c r="J91" s="14">
        <v>3</v>
      </c>
      <c r="K91" s="14">
        <v>336078671</v>
      </c>
      <c r="L91" s="14">
        <v>148</v>
      </c>
      <c r="M91" s="14">
        <v>18962266794.389999</v>
      </c>
      <c r="N91" s="14">
        <v>188</v>
      </c>
      <c r="O91" s="15">
        <v>23876272557.950005</v>
      </c>
    </row>
    <row r="92" spans="1:15" ht="16.5" customHeight="1" x14ac:dyDescent="0.3">
      <c r="A92" s="8" t="s">
        <v>100</v>
      </c>
      <c r="B92" s="9">
        <v>141</v>
      </c>
      <c r="C92" s="9">
        <v>12226203447.950001</v>
      </c>
      <c r="D92" s="10">
        <v>1</v>
      </c>
      <c r="E92" s="10">
        <v>4904503</v>
      </c>
      <c r="F92" s="10">
        <v>6</v>
      </c>
      <c r="G92" s="10">
        <v>337689578</v>
      </c>
      <c r="H92" s="10">
        <v>80</v>
      </c>
      <c r="I92" s="10">
        <v>7461576783.0799999</v>
      </c>
      <c r="J92" s="10">
        <v>1</v>
      </c>
      <c r="K92" s="10">
        <v>9657562</v>
      </c>
      <c r="L92" s="10">
        <v>457</v>
      </c>
      <c r="M92" s="10">
        <v>36080470198.190002</v>
      </c>
      <c r="N92" s="10">
        <v>686</v>
      </c>
      <c r="O92" s="11">
        <v>56120502072.219994</v>
      </c>
    </row>
    <row r="93" spans="1:15" ht="16.5" customHeight="1" x14ac:dyDescent="0.3">
      <c r="A93" s="12" t="s">
        <v>101</v>
      </c>
      <c r="B93" s="13">
        <v>89</v>
      </c>
      <c r="C93" s="13">
        <v>8507949900</v>
      </c>
      <c r="D93" s="14"/>
      <c r="E93" s="14"/>
      <c r="F93" s="14">
        <v>1</v>
      </c>
      <c r="G93" s="14">
        <v>78937278</v>
      </c>
      <c r="H93" s="14">
        <v>47</v>
      </c>
      <c r="I93" s="14">
        <v>4597118052.0299997</v>
      </c>
      <c r="J93" s="14">
        <v>1</v>
      </c>
      <c r="K93" s="14">
        <v>9657562</v>
      </c>
      <c r="L93" s="14">
        <v>244</v>
      </c>
      <c r="M93" s="14">
        <v>20051348239.689999</v>
      </c>
      <c r="N93" s="14">
        <v>382</v>
      </c>
      <c r="O93" s="15">
        <v>33245011031.719997</v>
      </c>
    </row>
    <row r="94" spans="1:15" ht="16.5" customHeight="1" x14ac:dyDescent="0.3">
      <c r="A94" s="12" t="s">
        <v>102</v>
      </c>
      <c r="B94" s="13">
        <v>52</v>
      </c>
      <c r="C94" s="13">
        <v>3718253547.9500003</v>
      </c>
      <c r="D94" s="14">
        <v>1</v>
      </c>
      <c r="E94" s="14">
        <v>4904503</v>
      </c>
      <c r="F94" s="14">
        <v>5</v>
      </c>
      <c r="G94" s="14">
        <v>258752300</v>
      </c>
      <c r="H94" s="14">
        <v>33</v>
      </c>
      <c r="I94" s="14">
        <v>2864458731.0500002</v>
      </c>
      <c r="J94" s="14"/>
      <c r="K94" s="14"/>
      <c r="L94" s="14">
        <v>213</v>
      </c>
      <c r="M94" s="14">
        <v>16029121958.5</v>
      </c>
      <c r="N94" s="14">
        <v>304</v>
      </c>
      <c r="O94" s="15">
        <v>22875491040.499996</v>
      </c>
    </row>
    <row r="95" spans="1:15" ht="16.5" customHeight="1" x14ac:dyDescent="0.3">
      <c r="A95" s="8" t="s">
        <v>103</v>
      </c>
      <c r="B95" s="9">
        <v>380</v>
      </c>
      <c r="C95" s="9">
        <v>29522670952.940002</v>
      </c>
      <c r="D95" s="10">
        <v>7</v>
      </c>
      <c r="E95" s="10">
        <v>245905569</v>
      </c>
      <c r="F95" s="10">
        <v>37</v>
      </c>
      <c r="G95" s="10">
        <v>1435574967</v>
      </c>
      <c r="H95" s="10">
        <v>117</v>
      </c>
      <c r="I95" s="10">
        <v>6088317156.7799997</v>
      </c>
      <c r="J95" s="10">
        <v>4</v>
      </c>
      <c r="K95" s="10">
        <v>188541933</v>
      </c>
      <c r="L95" s="10">
        <v>1247</v>
      </c>
      <c r="M95" s="10">
        <v>67846050089.529999</v>
      </c>
      <c r="N95" s="10">
        <v>1792</v>
      </c>
      <c r="O95" s="11">
        <v>105327060668.25</v>
      </c>
    </row>
    <row r="96" spans="1:15" ht="16.5" customHeight="1" x14ac:dyDescent="0.3">
      <c r="A96" s="12" t="s">
        <v>104</v>
      </c>
      <c r="B96" s="13">
        <v>140</v>
      </c>
      <c r="C96" s="13">
        <v>10690408402.440001</v>
      </c>
      <c r="D96" s="14">
        <v>1</v>
      </c>
      <c r="E96" s="14">
        <v>16787968</v>
      </c>
      <c r="F96" s="14">
        <v>10</v>
      </c>
      <c r="G96" s="14">
        <v>136029594</v>
      </c>
      <c r="H96" s="14">
        <v>32</v>
      </c>
      <c r="I96" s="14">
        <v>684370371</v>
      </c>
      <c r="J96" s="14"/>
      <c r="K96" s="14"/>
      <c r="L96" s="14">
        <v>297</v>
      </c>
      <c r="M96" s="14">
        <v>11324699498.66</v>
      </c>
      <c r="N96" s="14">
        <v>480</v>
      </c>
      <c r="O96" s="15">
        <v>22852295834.099998</v>
      </c>
    </row>
    <row r="97" spans="1:15" ht="16.5" customHeight="1" x14ac:dyDescent="0.3">
      <c r="A97" s="12" t="s">
        <v>105</v>
      </c>
      <c r="B97" s="13">
        <v>82</v>
      </c>
      <c r="C97" s="13">
        <v>6436186859.5</v>
      </c>
      <c r="D97" s="14">
        <v>1</v>
      </c>
      <c r="E97" s="14">
        <v>12724340</v>
      </c>
      <c r="F97" s="14">
        <v>6</v>
      </c>
      <c r="G97" s="14">
        <v>581445600</v>
      </c>
      <c r="H97" s="14">
        <v>21</v>
      </c>
      <c r="I97" s="14">
        <v>882333558.77999997</v>
      </c>
      <c r="J97" s="14">
        <v>1</v>
      </c>
      <c r="K97" s="14">
        <v>102870377</v>
      </c>
      <c r="L97" s="14">
        <v>270</v>
      </c>
      <c r="M97" s="14">
        <v>12583102134.560001</v>
      </c>
      <c r="N97" s="14">
        <v>381</v>
      </c>
      <c r="O97" s="15">
        <v>20598662869.839996</v>
      </c>
    </row>
    <row r="98" spans="1:15" ht="16.5" customHeight="1" x14ac:dyDescent="0.3">
      <c r="A98" s="12" t="s">
        <v>106</v>
      </c>
      <c r="B98" s="13">
        <v>85</v>
      </c>
      <c r="C98" s="13">
        <v>6152391364</v>
      </c>
      <c r="D98" s="14">
        <v>3</v>
      </c>
      <c r="E98" s="14">
        <v>164711206</v>
      </c>
      <c r="F98" s="14">
        <v>14</v>
      </c>
      <c r="G98" s="14">
        <v>564654110</v>
      </c>
      <c r="H98" s="14">
        <v>32</v>
      </c>
      <c r="I98" s="14">
        <v>2459307440</v>
      </c>
      <c r="J98" s="14">
        <v>2</v>
      </c>
      <c r="K98" s="14">
        <v>8807168</v>
      </c>
      <c r="L98" s="14">
        <v>268</v>
      </c>
      <c r="M98" s="14">
        <v>17547489922.260002</v>
      </c>
      <c r="N98" s="14">
        <v>404</v>
      </c>
      <c r="O98" s="15">
        <v>26897361210.259998</v>
      </c>
    </row>
    <row r="99" spans="1:15" ht="16.5" customHeight="1" x14ac:dyDescent="0.3">
      <c r="A99" s="12" t="s">
        <v>107</v>
      </c>
      <c r="B99" s="13">
        <v>73</v>
      </c>
      <c r="C99" s="13">
        <v>6243684327</v>
      </c>
      <c r="D99" s="14">
        <v>2</v>
      </c>
      <c r="E99" s="14">
        <v>51682055</v>
      </c>
      <c r="F99" s="14">
        <v>7</v>
      </c>
      <c r="G99" s="14">
        <v>153445663</v>
      </c>
      <c r="H99" s="14">
        <v>32</v>
      </c>
      <c r="I99" s="14">
        <v>2062305787</v>
      </c>
      <c r="J99" s="14">
        <v>1</v>
      </c>
      <c r="K99" s="14">
        <v>76864388</v>
      </c>
      <c r="L99" s="14">
        <v>412</v>
      </c>
      <c r="M99" s="14">
        <v>26390758534.049999</v>
      </c>
      <c r="N99" s="14">
        <v>527</v>
      </c>
      <c r="O99" s="15">
        <v>34978740754.050003</v>
      </c>
    </row>
    <row r="100" spans="1:15" ht="16.5" customHeight="1" x14ac:dyDescent="0.3">
      <c r="A100" s="4" t="s">
        <v>108</v>
      </c>
      <c r="B100" s="5">
        <v>1182</v>
      </c>
      <c r="C100" s="5">
        <v>107635808179.98</v>
      </c>
      <c r="D100" s="6">
        <v>24</v>
      </c>
      <c r="E100" s="6">
        <v>538879772</v>
      </c>
      <c r="F100" s="6">
        <v>69</v>
      </c>
      <c r="G100" s="6">
        <v>2822052237.48</v>
      </c>
      <c r="H100" s="6">
        <v>222</v>
      </c>
      <c r="I100" s="6">
        <v>12615186123</v>
      </c>
      <c r="J100" s="6">
        <v>10</v>
      </c>
      <c r="K100" s="6">
        <v>755311183</v>
      </c>
      <c r="L100" s="6">
        <v>1751</v>
      </c>
      <c r="M100" s="6">
        <v>122268413343.45001</v>
      </c>
      <c r="N100" s="6">
        <v>3258</v>
      </c>
      <c r="O100" s="7">
        <v>246635650838.90997</v>
      </c>
    </row>
    <row r="101" spans="1:15" ht="16.5" customHeight="1" x14ac:dyDescent="0.3">
      <c r="A101" s="8" t="s">
        <v>109</v>
      </c>
      <c r="B101" s="9">
        <v>560</v>
      </c>
      <c r="C101" s="9">
        <v>49393652527.82</v>
      </c>
      <c r="D101" s="10">
        <v>8</v>
      </c>
      <c r="E101" s="10">
        <v>122712856</v>
      </c>
      <c r="F101" s="10">
        <v>28</v>
      </c>
      <c r="G101" s="10">
        <v>876141510</v>
      </c>
      <c r="H101" s="10">
        <v>98</v>
      </c>
      <c r="I101" s="10">
        <v>6453914833</v>
      </c>
      <c r="J101" s="10">
        <v>4</v>
      </c>
      <c r="K101" s="10">
        <v>215951407</v>
      </c>
      <c r="L101" s="10">
        <v>710</v>
      </c>
      <c r="M101" s="10">
        <v>54780625785.400009</v>
      </c>
      <c r="N101" s="10">
        <v>1408</v>
      </c>
      <c r="O101" s="11">
        <v>111842998919.22</v>
      </c>
    </row>
    <row r="102" spans="1:15" ht="16.5" customHeight="1" x14ac:dyDescent="0.3">
      <c r="A102" s="12" t="s">
        <v>110</v>
      </c>
      <c r="B102" s="13">
        <v>86</v>
      </c>
      <c r="C102" s="13">
        <v>6335479111</v>
      </c>
      <c r="D102" s="14">
        <v>1</v>
      </c>
      <c r="E102" s="14">
        <v>31560939</v>
      </c>
      <c r="F102" s="14">
        <v>3</v>
      </c>
      <c r="G102" s="14">
        <v>63901074</v>
      </c>
      <c r="H102" s="14">
        <v>21</v>
      </c>
      <c r="I102" s="14">
        <v>1722132542</v>
      </c>
      <c r="J102" s="14"/>
      <c r="K102" s="14"/>
      <c r="L102" s="14">
        <v>93</v>
      </c>
      <c r="M102" s="14">
        <v>7101822082.4099998</v>
      </c>
      <c r="N102" s="14">
        <v>204</v>
      </c>
      <c r="O102" s="15">
        <v>15254895748.41</v>
      </c>
    </row>
    <row r="103" spans="1:15" ht="16.5" customHeight="1" x14ac:dyDescent="0.3">
      <c r="A103" s="12" t="s">
        <v>111</v>
      </c>
      <c r="B103" s="13">
        <v>64</v>
      </c>
      <c r="C103" s="13">
        <v>7916352629.8800001</v>
      </c>
      <c r="D103" s="14">
        <v>4</v>
      </c>
      <c r="E103" s="14">
        <v>79999910</v>
      </c>
      <c r="F103" s="14">
        <v>9</v>
      </c>
      <c r="G103" s="14">
        <v>265659262</v>
      </c>
      <c r="H103" s="14">
        <v>17</v>
      </c>
      <c r="I103" s="14">
        <v>704062134</v>
      </c>
      <c r="J103" s="14">
        <v>3</v>
      </c>
      <c r="K103" s="14">
        <v>215951407</v>
      </c>
      <c r="L103" s="14">
        <v>136</v>
      </c>
      <c r="M103" s="14">
        <v>14768176992.450001</v>
      </c>
      <c r="N103" s="14">
        <v>233</v>
      </c>
      <c r="O103" s="15">
        <v>23950202335.330002</v>
      </c>
    </row>
    <row r="104" spans="1:15" ht="16.5" customHeight="1" x14ac:dyDescent="0.3">
      <c r="A104" s="12" t="s">
        <v>112</v>
      </c>
      <c r="B104" s="13">
        <v>112</v>
      </c>
      <c r="C104" s="13">
        <v>9287635146</v>
      </c>
      <c r="D104" s="14"/>
      <c r="E104" s="14"/>
      <c r="F104" s="14"/>
      <c r="G104" s="14"/>
      <c r="H104" s="14">
        <v>10</v>
      </c>
      <c r="I104" s="14">
        <v>1049585890</v>
      </c>
      <c r="J104" s="14"/>
      <c r="K104" s="14"/>
      <c r="L104" s="14">
        <v>64</v>
      </c>
      <c r="M104" s="14">
        <v>3939459347.4400001</v>
      </c>
      <c r="N104" s="14">
        <v>186</v>
      </c>
      <c r="O104" s="15">
        <v>14276680383.440001</v>
      </c>
    </row>
    <row r="105" spans="1:15" ht="16.5" customHeight="1" x14ac:dyDescent="0.3">
      <c r="A105" s="12" t="s">
        <v>113</v>
      </c>
      <c r="B105" s="13">
        <v>44</v>
      </c>
      <c r="C105" s="13">
        <v>3540398661</v>
      </c>
      <c r="D105" s="14"/>
      <c r="E105" s="14"/>
      <c r="F105" s="14">
        <v>3</v>
      </c>
      <c r="G105" s="14">
        <v>4264724</v>
      </c>
      <c r="H105" s="14">
        <v>8</v>
      </c>
      <c r="I105" s="14">
        <v>716979815</v>
      </c>
      <c r="J105" s="14"/>
      <c r="K105" s="14"/>
      <c r="L105" s="14">
        <v>106</v>
      </c>
      <c r="M105" s="14">
        <v>7138296472.8600006</v>
      </c>
      <c r="N105" s="14">
        <v>161</v>
      </c>
      <c r="O105" s="15">
        <v>11399939672.860001</v>
      </c>
    </row>
    <row r="106" spans="1:15" ht="16.5" customHeight="1" x14ac:dyDescent="0.3">
      <c r="A106" s="12" t="s">
        <v>114</v>
      </c>
      <c r="B106" s="13">
        <v>109</v>
      </c>
      <c r="C106" s="13">
        <v>11665204387.940001</v>
      </c>
      <c r="D106" s="14">
        <v>2</v>
      </c>
      <c r="E106" s="14">
        <v>3402505</v>
      </c>
      <c r="F106" s="14">
        <v>6</v>
      </c>
      <c r="G106" s="14">
        <v>142717532</v>
      </c>
      <c r="H106" s="14">
        <v>21</v>
      </c>
      <c r="I106" s="14">
        <v>997318248</v>
      </c>
      <c r="J106" s="14">
        <v>1</v>
      </c>
      <c r="K106" s="14">
        <v>0</v>
      </c>
      <c r="L106" s="14">
        <v>193</v>
      </c>
      <c r="M106" s="14">
        <v>14598150279.110001</v>
      </c>
      <c r="N106" s="14">
        <v>332</v>
      </c>
      <c r="O106" s="15">
        <v>27406792952.050003</v>
      </c>
    </row>
    <row r="107" spans="1:15" ht="16.5" customHeight="1" x14ac:dyDescent="0.3">
      <c r="A107" s="12" t="s">
        <v>115</v>
      </c>
      <c r="B107" s="13">
        <v>145</v>
      </c>
      <c r="C107" s="13">
        <v>10648582592</v>
      </c>
      <c r="D107" s="14">
        <v>1</v>
      </c>
      <c r="E107" s="14">
        <v>7749502</v>
      </c>
      <c r="F107" s="14">
        <v>7</v>
      </c>
      <c r="G107" s="14">
        <v>399598918</v>
      </c>
      <c r="H107" s="14">
        <v>21</v>
      </c>
      <c r="I107" s="14">
        <v>1263836204</v>
      </c>
      <c r="J107" s="14"/>
      <c r="K107" s="14"/>
      <c r="L107" s="14">
        <v>118</v>
      </c>
      <c r="M107" s="14">
        <v>7234720611.1300001</v>
      </c>
      <c r="N107" s="14">
        <v>292</v>
      </c>
      <c r="O107" s="15">
        <v>19554487827.129997</v>
      </c>
    </row>
    <row r="108" spans="1:15" ht="16.5" customHeight="1" x14ac:dyDescent="0.3">
      <c r="A108" s="8" t="s">
        <v>116</v>
      </c>
      <c r="B108" s="9">
        <v>90</v>
      </c>
      <c r="C108" s="9">
        <v>11813381858.380001</v>
      </c>
      <c r="D108" s="10">
        <v>3</v>
      </c>
      <c r="E108" s="10">
        <v>230963864</v>
      </c>
      <c r="F108" s="10">
        <v>3</v>
      </c>
      <c r="G108" s="10">
        <v>429701262</v>
      </c>
      <c r="H108" s="10">
        <v>22</v>
      </c>
      <c r="I108" s="10">
        <v>2712674185</v>
      </c>
      <c r="J108" s="10">
        <v>2</v>
      </c>
      <c r="K108" s="10">
        <v>139480975</v>
      </c>
      <c r="L108" s="10">
        <v>80</v>
      </c>
      <c r="M108" s="10">
        <v>10034351328</v>
      </c>
      <c r="N108" s="10">
        <v>200</v>
      </c>
      <c r="O108" s="11">
        <v>25360553472.380001</v>
      </c>
    </row>
    <row r="109" spans="1:15" ht="16.5" customHeight="1" x14ac:dyDescent="0.3">
      <c r="A109" s="12" t="s">
        <v>117</v>
      </c>
      <c r="B109" s="13">
        <v>1</v>
      </c>
      <c r="C109" s="13">
        <v>53331200</v>
      </c>
      <c r="D109" s="14"/>
      <c r="E109" s="14"/>
      <c r="F109" s="14"/>
      <c r="G109" s="14"/>
      <c r="H109" s="14">
        <v>1</v>
      </c>
      <c r="I109" s="14">
        <v>135639200</v>
      </c>
      <c r="J109" s="14">
        <v>1</v>
      </c>
      <c r="K109" s="14">
        <v>15328433</v>
      </c>
      <c r="L109" s="14">
        <v>20</v>
      </c>
      <c r="M109" s="14">
        <v>2141085842</v>
      </c>
      <c r="N109" s="14">
        <v>23</v>
      </c>
      <c r="O109" s="15">
        <v>2345384675</v>
      </c>
    </row>
    <row r="110" spans="1:15" ht="16.5" customHeight="1" x14ac:dyDescent="0.3">
      <c r="A110" s="12" t="s">
        <v>118</v>
      </c>
      <c r="B110" s="13">
        <v>89</v>
      </c>
      <c r="C110" s="13">
        <v>11760050658.380001</v>
      </c>
      <c r="D110" s="14">
        <v>3</v>
      </c>
      <c r="E110" s="14">
        <v>230963864</v>
      </c>
      <c r="F110" s="14">
        <v>3</v>
      </c>
      <c r="G110" s="14">
        <v>429701262</v>
      </c>
      <c r="H110" s="14">
        <v>21</v>
      </c>
      <c r="I110" s="14">
        <v>2577034985</v>
      </c>
      <c r="J110" s="14">
        <v>1</v>
      </c>
      <c r="K110" s="14">
        <v>124152542</v>
      </c>
      <c r="L110" s="14">
        <v>60</v>
      </c>
      <c r="M110" s="14">
        <v>7893265486</v>
      </c>
      <c r="N110" s="14">
        <v>177</v>
      </c>
      <c r="O110" s="15">
        <v>23015168797.380001</v>
      </c>
    </row>
    <row r="111" spans="1:15" ht="16.5" customHeight="1" x14ac:dyDescent="0.3">
      <c r="A111" s="8" t="s">
        <v>119</v>
      </c>
      <c r="B111" s="9">
        <v>532</v>
      </c>
      <c r="C111" s="9">
        <v>46428773793.779999</v>
      </c>
      <c r="D111" s="10">
        <v>13</v>
      </c>
      <c r="E111" s="10">
        <v>185203052</v>
      </c>
      <c r="F111" s="10">
        <v>38</v>
      </c>
      <c r="G111" s="10">
        <v>1516209465.48</v>
      </c>
      <c r="H111" s="10">
        <v>102</v>
      </c>
      <c r="I111" s="10">
        <v>3448597105</v>
      </c>
      <c r="J111" s="10">
        <v>4</v>
      </c>
      <c r="K111" s="10">
        <v>399878801</v>
      </c>
      <c r="L111" s="10">
        <v>961</v>
      </c>
      <c r="M111" s="10">
        <v>57453436230.050003</v>
      </c>
      <c r="N111" s="10">
        <v>1650</v>
      </c>
      <c r="O111" s="11">
        <v>109432098447.30998</v>
      </c>
    </row>
    <row r="112" spans="1:15" ht="16.5" customHeight="1" x14ac:dyDescent="0.3">
      <c r="A112" s="12" t="s">
        <v>120</v>
      </c>
      <c r="B112" s="13">
        <v>24</v>
      </c>
      <c r="C112" s="13">
        <v>885228757.03999996</v>
      </c>
      <c r="D112" s="14"/>
      <c r="E112" s="14"/>
      <c r="F112" s="14">
        <v>4</v>
      </c>
      <c r="G112" s="14">
        <v>22592993</v>
      </c>
      <c r="H112" s="14">
        <v>11</v>
      </c>
      <c r="I112" s="14">
        <v>398612586</v>
      </c>
      <c r="J112" s="14">
        <v>1</v>
      </c>
      <c r="K112" s="14">
        <v>25575224</v>
      </c>
      <c r="L112" s="14">
        <v>87</v>
      </c>
      <c r="M112" s="14">
        <v>4295453420.9799995</v>
      </c>
      <c r="N112" s="14">
        <v>127</v>
      </c>
      <c r="O112" s="15">
        <v>5627462981.0199995</v>
      </c>
    </row>
    <row r="113" spans="1:15" ht="16.5" customHeight="1" x14ac:dyDescent="0.3">
      <c r="A113" s="12" t="s">
        <v>121</v>
      </c>
      <c r="B113" s="13">
        <v>113</v>
      </c>
      <c r="C113" s="13">
        <v>12501304317.6</v>
      </c>
      <c r="D113" s="14">
        <v>4</v>
      </c>
      <c r="E113" s="14">
        <v>1490951</v>
      </c>
      <c r="F113" s="14">
        <v>3</v>
      </c>
      <c r="G113" s="14">
        <v>323279882</v>
      </c>
      <c r="H113" s="14">
        <v>15</v>
      </c>
      <c r="I113" s="14">
        <v>718643355</v>
      </c>
      <c r="J113" s="14">
        <v>1</v>
      </c>
      <c r="K113" s="14">
        <v>91327654</v>
      </c>
      <c r="L113" s="14">
        <v>361</v>
      </c>
      <c r="M113" s="14">
        <v>26717255048.740002</v>
      </c>
      <c r="N113" s="14">
        <v>497</v>
      </c>
      <c r="O113" s="15">
        <v>40353301208.339996</v>
      </c>
    </row>
    <row r="114" spans="1:15" ht="16.5" customHeight="1" x14ac:dyDescent="0.3">
      <c r="A114" s="12" t="s">
        <v>122</v>
      </c>
      <c r="B114" s="13">
        <v>249</v>
      </c>
      <c r="C114" s="13">
        <v>19986387981.139999</v>
      </c>
      <c r="D114" s="14">
        <v>7</v>
      </c>
      <c r="E114" s="14">
        <v>178009801</v>
      </c>
      <c r="F114" s="14">
        <v>22</v>
      </c>
      <c r="G114" s="14">
        <v>892553644.48000002</v>
      </c>
      <c r="H114" s="14">
        <v>61</v>
      </c>
      <c r="I114" s="14">
        <v>1877715658</v>
      </c>
      <c r="J114" s="14">
        <v>2</v>
      </c>
      <c r="K114" s="14">
        <v>282975923</v>
      </c>
      <c r="L114" s="14">
        <v>352</v>
      </c>
      <c r="M114" s="14">
        <v>18928261324</v>
      </c>
      <c r="N114" s="14">
        <v>693</v>
      </c>
      <c r="O114" s="15">
        <v>42145904331.619995</v>
      </c>
    </row>
    <row r="115" spans="1:15" ht="16.5" customHeight="1" x14ac:dyDescent="0.3">
      <c r="A115" s="12" t="s">
        <v>123</v>
      </c>
      <c r="B115" s="13">
        <v>146</v>
      </c>
      <c r="C115" s="13">
        <v>13055852738</v>
      </c>
      <c r="D115" s="14">
        <v>2</v>
      </c>
      <c r="E115" s="14">
        <v>5702300</v>
      </c>
      <c r="F115" s="14">
        <v>9</v>
      </c>
      <c r="G115" s="14">
        <v>277782946</v>
      </c>
      <c r="H115" s="14">
        <v>15</v>
      </c>
      <c r="I115" s="14">
        <v>453625506</v>
      </c>
      <c r="J115" s="14"/>
      <c r="K115" s="14"/>
      <c r="L115" s="14">
        <v>161</v>
      </c>
      <c r="M115" s="14">
        <v>7512466436.3299999</v>
      </c>
      <c r="N115" s="14">
        <v>333</v>
      </c>
      <c r="O115" s="15">
        <v>21305429926.329998</v>
      </c>
    </row>
    <row r="116" spans="1:15" ht="16.5" customHeight="1" x14ac:dyDescent="0.3">
      <c r="A116" s="4" t="s">
        <v>124</v>
      </c>
      <c r="B116" s="5">
        <v>882</v>
      </c>
      <c r="C116" s="5">
        <v>79183329261.009995</v>
      </c>
      <c r="D116" s="6">
        <v>52</v>
      </c>
      <c r="E116" s="6">
        <v>1449192750.02</v>
      </c>
      <c r="F116" s="6">
        <v>181</v>
      </c>
      <c r="G116" s="6">
        <v>7556720519.9099998</v>
      </c>
      <c r="H116" s="6">
        <v>328</v>
      </c>
      <c r="I116" s="6">
        <v>11291346520.960001</v>
      </c>
      <c r="J116" s="6">
        <v>15</v>
      </c>
      <c r="K116" s="6">
        <v>1382739601</v>
      </c>
      <c r="L116" s="6">
        <v>3236</v>
      </c>
      <c r="M116" s="6">
        <v>157944998188.70001</v>
      </c>
      <c r="N116" s="6">
        <v>4694</v>
      </c>
      <c r="O116" s="7">
        <v>258808326841.60001</v>
      </c>
    </row>
    <row r="117" spans="1:15" ht="16.5" customHeight="1" x14ac:dyDescent="0.3">
      <c r="A117" s="8" t="s">
        <v>125</v>
      </c>
      <c r="B117" s="9">
        <v>433</v>
      </c>
      <c r="C117" s="9">
        <v>41001557656.360001</v>
      </c>
      <c r="D117" s="10">
        <v>24</v>
      </c>
      <c r="E117" s="10">
        <v>959394697</v>
      </c>
      <c r="F117" s="10">
        <v>112</v>
      </c>
      <c r="G117" s="10">
        <v>4883918144.9099998</v>
      </c>
      <c r="H117" s="10">
        <v>174</v>
      </c>
      <c r="I117" s="10">
        <v>6276276034</v>
      </c>
      <c r="J117" s="10">
        <v>9</v>
      </c>
      <c r="K117" s="10">
        <v>1070668647</v>
      </c>
      <c r="L117" s="10">
        <v>1415</v>
      </c>
      <c r="M117" s="10">
        <v>56599311562.400002</v>
      </c>
      <c r="N117" s="10">
        <v>2167</v>
      </c>
      <c r="O117" s="11">
        <v>110791126741.67</v>
      </c>
    </row>
    <row r="118" spans="1:15" ht="16.5" customHeight="1" x14ac:dyDescent="0.3">
      <c r="A118" s="12" t="s">
        <v>126</v>
      </c>
      <c r="B118" s="13">
        <v>201</v>
      </c>
      <c r="C118" s="13">
        <v>17659063213</v>
      </c>
      <c r="D118" s="14">
        <v>12</v>
      </c>
      <c r="E118" s="14">
        <v>169051123</v>
      </c>
      <c r="F118" s="14">
        <v>65</v>
      </c>
      <c r="G118" s="14">
        <v>1189886895</v>
      </c>
      <c r="H118" s="14">
        <v>115</v>
      </c>
      <c r="I118" s="14">
        <v>3290579589</v>
      </c>
      <c r="J118" s="14">
        <v>4</v>
      </c>
      <c r="K118" s="14">
        <v>284085142</v>
      </c>
      <c r="L118" s="14">
        <v>968</v>
      </c>
      <c r="M118" s="14">
        <v>31799014665.470001</v>
      </c>
      <c r="N118" s="14">
        <v>1365</v>
      </c>
      <c r="O118" s="15">
        <v>54391680627.470001</v>
      </c>
    </row>
    <row r="119" spans="1:15" ht="16.5" customHeight="1" x14ac:dyDescent="0.3">
      <c r="A119" s="12" t="s">
        <v>127</v>
      </c>
      <c r="B119" s="13">
        <v>120</v>
      </c>
      <c r="C119" s="13">
        <v>12950505759.360001</v>
      </c>
      <c r="D119" s="14">
        <v>10</v>
      </c>
      <c r="E119" s="14">
        <v>594384777</v>
      </c>
      <c r="F119" s="14">
        <v>31</v>
      </c>
      <c r="G119" s="14">
        <v>2607444293</v>
      </c>
      <c r="H119" s="14">
        <v>35</v>
      </c>
      <c r="I119" s="14">
        <v>1499754272</v>
      </c>
      <c r="J119" s="14">
        <v>3</v>
      </c>
      <c r="K119" s="14">
        <v>607176180</v>
      </c>
      <c r="L119" s="14">
        <v>279</v>
      </c>
      <c r="M119" s="14">
        <v>15089174877.470001</v>
      </c>
      <c r="N119" s="14">
        <v>478</v>
      </c>
      <c r="O119" s="15">
        <v>33348440158.830002</v>
      </c>
    </row>
    <row r="120" spans="1:15" ht="16.5" customHeight="1" x14ac:dyDescent="0.3">
      <c r="A120" s="12" t="s">
        <v>128</v>
      </c>
      <c r="B120" s="13">
        <v>112</v>
      </c>
      <c r="C120" s="13">
        <v>10391988684</v>
      </c>
      <c r="D120" s="14">
        <v>2</v>
      </c>
      <c r="E120" s="14">
        <v>195958797</v>
      </c>
      <c r="F120" s="14">
        <v>16</v>
      </c>
      <c r="G120" s="14">
        <v>1086586956.9099998</v>
      </c>
      <c r="H120" s="14">
        <v>24</v>
      </c>
      <c r="I120" s="14">
        <v>1485942173</v>
      </c>
      <c r="J120" s="14">
        <v>2</v>
      </c>
      <c r="K120" s="14">
        <v>179407325</v>
      </c>
      <c r="L120" s="14">
        <v>168</v>
      </c>
      <c r="M120" s="14">
        <v>9711122019.4599991</v>
      </c>
      <c r="N120" s="14">
        <v>324</v>
      </c>
      <c r="O120" s="15">
        <v>23051005955.369999</v>
      </c>
    </row>
    <row r="121" spans="1:15" ht="16.5" customHeight="1" x14ac:dyDescent="0.3">
      <c r="A121" s="8" t="s">
        <v>129</v>
      </c>
      <c r="B121" s="9">
        <v>101</v>
      </c>
      <c r="C121" s="9">
        <v>11348536781</v>
      </c>
      <c r="D121" s="10">
        <v>5</v>
      </c>
      <c r="E121" s="10">
        <v>2811250</v>
      </c>
      <c r="F121" s="10">
        <v>11</v>
      </c>
      <c r="G121" s="10">
        <v>364089942</v>
      </c>
      <c r="H121" s="10">
        <v>14</v>
      </c>
      <c r="I121" s="10">
        <v>596807553</v>
      </c>
      <c r="J121" s="10">
        <v>1</v>
      </c>
      <c r="K121" s="10">
        <v>32879780</v>
      </c>
      <c r="L121" s="10">
        <v>417</v>
      </c>
      <c r="M121" s="10">
        <v>33109784964.840004</v>
      </c>
      <c r="N121" s="10">
        <v>549</v>
      </c>
      <c r="O121" s="11">
        <v>45454910270.839996</v>
      </c>
    </row>
    <row r="122" spans="1:15" ht="16.5" customHeight="1" x14ac:dyDescent="0.3">
      <c r="A122" s="12" t="s">
        <v>130</v>
      </c>
      <c r="B122" s="13">
        <v>80</v>
      </c>
      <c r="C122" s="13">
        <v>9464161516</v>
      </c>
      <c r="D122" s="14">
        <v>5</v>
      </c>
      <c r="E122" s="14">
        <v>2811250</v>
      </c>
      <c r="F122" s="14">
        <v>8</v>
      </c>
      <c r="G122" s="14">
        <v>120246648</v>
      </c>
      <c r="H122" s="14">
        <v>10</v>
      </c>
      <c r="I122" s="14">
        <v>414594751</v>
      </c>
      <c r="J122" s="14">
        <v>1</v>
      </c>
      <c r="K122" s="14">
        <v>32879780</v>
      </c>
      <c r="L122" s="14">
        <v>336</v>
      </c>
      <c r="M122" s="14">
        <v>28199326836.840004</v>
      </c>
      <c r="N122" s="14">
        <v>440</v>
      </c>
      <c r="O122" s="15">
        <v>38234020781.839996</v>
      </c>
    </row>
    <row r="123" spans="1:15" ht="16.5" customHeight="1" x14ac:dyDescent="0.3">
      <c r="A123" s="12" t="s">
        <v>131</v>
      </c>
      <c r="B123" s="13">
        <v>21</v>
      </c>
      <c r="C123" s="13">
        <v>1884375265</v>
      </c>
      <c r="D123" s="14"/>
      <c r="E123" s="14"/>
      <c r="F123" s="14">
        <v>3</v>
      </c>
      <c r="G123" s="14">
        <v>243843294</v>
      </c>
      <c r="H123" s="14">
        <v>4</v>
      </c>
      <c r="I123" s="14">
        <v>182212802</v>
      </c>
      <c r="J123" s="14"/>
      <c r="K123" s="14"/>
      <c r="L123" s="14">
        <v>81</v>
      </c>
      <c r="M123" s="14">
        <v>4910458128</v>
      </c>
      <c r="N123" s="14">
        <v>109</v>
      </c>
      <c r="O123" s="15">
        <v>7220889489</v>
      </c>
    </row>
    <row r="124" spans="1:15" ht="16.5" customHeight="1" x14ac:dyDescent="0.3">
      <c r="A124" s="8" t="s">
        <v>132</v>
      </c>
      <c r="B124" s="9">
        <v>348</v>
      </c>
      <c r="C124" s="9">
        <v>26833234823.650005</v>
      </c>
      <c r="D124" s="10">
        <v>23</v>
      </c>
      <c r="E124" s="10">
        <v>486986803.01999998</v>
      </c>
      <c r="F124" s="10">
        <v>58</v>
      </c>
      <c r="G124" s="10">
        <v>2308712433</v>
      </c>
      <c r="H124" s="10">
        <v>140</v>
      </c>
      <c r="I124" s="10">
        <v>4418262933.960001</v>
      </c>
      <c r="J124" s="10">
        <v>5</v>
      </c>
      <c r="K124" s="10">
        <v>279191174</v>
      </c>
      <c r="L124" s="10">
        <v>1404</v>
      </c>
      <c r="M124" s="10">
        <v>68235901661.459999</v>
      </c>
      <c r="N124" s="10">
        <v>1978</v>
      </c>
      <c r="O124" s="11">
        <v>102562289829.09</v>
      </c>
    </row>
    <row r="125" spans="1:15" ht="16.5" customHeight="1" x14ac:dyDescent="0.3">
      <c r="A125" s="12" t="s">
        <v>133</v>
      </c>
      <c r="B125" s="13">
        <v>127</v>
      </c>
      <c r="C125" s="13">
        <v>9751299700</v>
      </c>
      <c r="D125" s="14">
        <v>13</v>
      </c>
      <c r="E125" s="14">
        <v>341767434.01999998</v>
      </c>
      <c r="F125" s="14">
        <v>28</v>
      </c>
      <c r="G125" s="14">
        <v>886789507</v>
      </c>
      <c r="H125" s="14">
        <v>59</v>
      </c>
      <c r="I125" s="14">
        <v>2068597050</v>
      </c>
      <c r="J125" s="14">
        <v>3</v>
      </c>
      <c r="K125" s="14">
        <v>224919826</v>
      </c>
      <c r="L125" s="14">
        <v>609</v>
      </c>
      <c r="M125" s="14">
        <v>29157075396.620003</v>
      </c>
      <c r="N125" s="14">
        <v>839</v>
      </c>
      <c r="O125" s="15">
        <v>42430448913.639999</v>
      </c>
    </row>
    <row r="126" spans="1:15" ht="16.5" customHeight="1" x14ac:dyDescent="0.3">
      <c r="A126" s="12" t="s">
        <v>134</v>
      </c>
      <c r="B126" s="13">
        <v>140</v>
      </c>
      <c r="C126" s="13">
        <v>10454708433</v>
      </c>
      <c r="D126" s="14">
        <v>6</v>
      </c>
      <c r="E126" s="14">
        <v>125378885</v>
      </c>
      <c r="F126" s="14">
        <v>17</v>
      </c>
      <c r="G126" s="14">
        <v>345667852</v>
      </c>
      <c r="H126" s="14">
        <v>65</v>
      </c>
      <c r="I126" s="14">
        <v>2024863701.1099999</v>
      </c>
      <c r="J126" s="14">
        <v>2</v>
      </c>
      <c r="K126" s="14">
        <v>54271348</v>
      </c>
      <c r="L126" s="14">
        <v>587</v>
      </c>
      <c r="M126" s="14">
        <v>29392285553.940002</v>
      </c>
      <c r="N126" s="14">
        <v>817</v>
      </c>
      <c r="O126" s="15">
        <v>42397175773.050003</v>
      </c>
    </row>
    <row r="127" spans="1:15" ht="16.5" customHeight="1" x14ac:dyDescent="0.3">
      <c r="A127" s="12" t="s">
        <v>135</v>
      </c>
      <c r="B127" s="13">
        <v>81</v>
      </c>
      <c r="C127" s="13">
        <v>6627226690.6499996</v>
      </c>
      <c r="D127" s="14">
        <v>4</v>
      </c>
      <c r="E127" s="14">
        <v>19840484</v>
      </c>
      <c r="F127" s="14">
        <v>13</v>
      </c>
      <c r="G127" s="14">
        <v>1076255074</v>
      </c>
      <c r="H127" s="14">
        <v>16</v>
      </c>
      <c r="I127" s="14">
        <v>324802182.85000002</v>
      </c>
      <c r="J127" s="14"/>
      <c r="K127" s="14"/>
      <c r="L127" s="14">
        <v>208</v>
      </c>
      <c r="M127" s="14">
        <v>9686540710.8999996</v>
      </c>
      <c r="N127" s="14">
        <v>322</v>
      </c>
      <c r="O127" s="15">
        <v>17734665142.399998</v>
      </c>
    </row>
    <row r="128" spans="1:15" ht="16.5" customHeight="1" x14ac:dyDescent="0.3">
      <c r="A128" s="4" t="s">
        <v>136</v>
      </c>
      <c r="B128" s="5">
        <v>1070</v>
      </c>
      <c r="C128" s="5">
        <v>100579675599.54001</v>
      </c>
      <c r="D128" s="6">
        <v>13</v>
      </c>
      <c r="E128" s="6">
        <v>139028044</v>
      </c>
      <c r="F128" s="6">
        <v>73</v>
      </c>
      <c r="G128" s="6">
        <v>5416430808</v>
      </c>
      <c r="H128" s="6">
        <v>163</v>
      </c>
      <c r="I128" s="6">
        <v>7534114554.7399998</v>
      </c>
      <c r="J128" s="6">
        <v>6</v>
      </c>
      <c r="K128" s="6">
        <v>408298654</v>
      </c>
      <c r="L128" s="6">
        <v>1495</v>
      </c>
      <c r="M128" s="6">
        <v>79233121401.409988</v>
      </c>
      <c r="N128" s="6">
        <v>2820</v>
      </c>
      <c r="O128" s="7">
        <v>193310669061.69</v>
      </c>
    </row>
    <row r="129" spans="1:17" ht="16.5" customHeight="1" x14ac:dyDescent="0.3">
      <c r="A129" s="8" t="s">
        <v>137</v>
      </c>
      <c r="B129" s="9">
        <v>463</v>
      </c>
      <c r="C129" s="9">
        <v>44647069180</v>
      </c>
      <c r="D129" s="10">
        <v>7</v>
      </c>
      <c r="E129" s="10">
        <v>74259300</v>
      </c>
      <c r="F129" s="10">
        <v>63</v>
      </c>
      <c r="G129" s="10">
        <v>4860985118</v>
      </c>
      <c r="H129" s="10">
        <v>90</v>
      </c>
      <c r="I129" s="10">
        <v>4442654333</v>
      </c>
      <c r="J129" s="10">
        <v>3</v>
      </c>
      <c r="K129" s="10">
        <v>295843439</v>
      </c>
      <c r="L129" s="10">
        <v>633</v>
      </c>
      <c r="M129" s="10">
        <v>32891996388.010002</v>
      </c>
      <c r="N129" s="10">
        <v>1259</v>
      </c>
      <c r="O129" s="11">
        <v>87212807758.009995</v>
      </c>
    </row>
    <row r="130" spans="1:17" ht="16.5" customHeight="1" x14ac:dyDescent="0.3">
      <c r="A130" s="12" t="s">
        <v>138</v>
      </c>
      <c r="B130" s="13">
        <v>203</v>
      </c>
      <c r="C130" s="13">
        <v>18638548385</v>
      </c>
      <c r="D130" s="14">
        <v>2</v>
      </c>
      <c r="E130" s="14">
        <v>8324866</v>
      </c>
      <c r="F130" s="14">
        <v>16</v>
      </c>
      <c r="G130" s="14">
        <v>336190234</v>
      </c>
      <c r="H130" s="14">
        <v>40</v>
      </c>
      <c r="I130" s="14">
        <v>1443203759</v>
      </c>
      <c r="J130" s="14">
        <v>2</v>
      </c>
      <c r="K130" s="14">
        <v>157924876</v>
      </c>
      <c r="L130" s="14">
        <v>318</v>
      </c>
      <c r="M130" s="14">
        <v>14634913619.01</v>
      </c>
      <c r="N130" s="14">
        <v>581</v>
      </c>
      <c r="O130" s="15">
        <v>35219105739.009995</v>
      </c>
    </row>
    <row r="131" spans="1:17" ht="16.5" customHeight="1" x14ac:dyDescent="0.3">
      <c r="A131" s="12" t="s">
        <v>139</v>
      </c>
      <c r="B131" s="13">
        <v>156</v>
      </c>
      <c r="C131" s="13">
        <v>14487802887</v>
      </c>
      <c r="D131" s="14">
        <v>5</v>
      </c>
      <c r="E131" s="14">
        <v>65934434</v>
      </c>
      <c r="F131" s="14">
        <v>9</v>
      </c>
      <c r="G131" s="14">
        <v>200018010</v>
      </c>
      <c r="H131" s="14">
        <v>32</v>
      </c>
      <c r="I131" s="14">
        <v>1033796413</v>
      </c>
      <c r="J131" s="14"/>
      <c r="K131" s="14"/>
      <c r="L131" s="14">
        <v>248</v>
      </c>
      <c r="M131" s="14">
        <v>11902372177</v>
      </c>
      <c r="N131" s="14">
        <v>450</v>
      </c>
      <c r="O131" s="15">
        <v>27689923921</v>
      </c>
    </row>
    <row r="132" spans="1:17" ht="16.5" customHeight="1" x14ac:dyDescent="0.3">
      <c r="A132" s="12" t="s">
        <v>140</v>
      </c>
      <c r="B132" s="13">
        <v>104</v>
      </c>
      <c r="C132" s="13">
        <v>11520717908</v>
      </c>
      <c r="D132" s="14"/>
      <c r="E132" s="14"/>
      <c r="F132" s="14">
        <v>38</v>
      </c>
      <c r="G132" s="14">
        <v>4324776874</v>
      </c>
      <c r="H132" s="14">
        <v>18</v>
      </c>
      <c r="I132" s="14">
        <v>1965654161</v>
      </c>
      <c r="J132" s="14">
        <v>1</v>
      </c>
      <c r="K132" s="14">
        <v>137918563</v>
      </c>
      <c r="L132" s="14">
        <v>67</v>
      </c>
      <c r="M132" s="14">
        <v>6354710592</v>
      </c>
      <c r="N132" s="14">
        <v>228</v>
      </c>
      <c r="O132" s="15">
        <v>24303778098</v>
      </c>
    </row>
    <row r="133" spans="1:17" ht="16.5" customHeight="1" x14ac:dyDescent="0.3">
      <c r="A133" s="8" t="s">
        <v>141</v>
      </c>
      <c r="B133" s="9">
        <v>607</v>
      </c>
      <c r="C133" s="9">
        <v>55932606419.540001</v>
      </c>
      <c r="D133" s="10">
        <v>6</v>
      </c>
      <c r="E133" s="10">
        <v>64768744</v>
      </c>
      <c r="F133" s="10">
        <v>10</v>
      </c>
      <c r="G133" s="10">
        <v>555445690</v>
      </c>
      <c r="H133" s="10">
        <v>73</v>
      </c>
      <c r="I133" s="10">
        <v>3091460221.7399998</v>
      </c>
      <c r="J133" s="10">
        <v>3</v>
      </c>
      <c r="K133" s="10">
        <v>112455215</v>
      </c>
      <c r="L133" s="10">
        <v>862</v>
      </c>
      <c r="M133" s="10">
        <v>46341125013.400002</v>
      </c>
      <c r="N133" s="10">
        <v>1561</v>
      </c>
      <c r="O133" s="11">
        <v>106097861303.67999</v>
      </c>
    </row>
    <row r="134" spans="1:17" ht="16.5" customHeight="1" x14ac:dyDescent="0.3">
      <c r="A134" s="12" t="s">
        <v>142</v>
      </c>
      <c r="B134" s="13">
        <v>269</v>
      </c>
      <c r="C134" s="13">
        <v>28507214559.32</v>
      </c>
      <c r="D134" s="14">
        <v>1</v>
      </c>
      <c r="E134" s="14">
        <v>9204818</v>
      </c>
      <c r="F134" s="14">
        <v>7</v>
      </c>
      <c r="G134" s="14">
        <v>532569158</v>
      </c>
      <c r="H134" s="14">
        <v>37</v>
      </c>
      <c r="I134" s="14">
        <v>2149835909</v>
      </c>
      <c r="J134" s="14">
        <v>2</v>
      </c>
      <c r="K134" s="14">
        <v>66511083</v>
      </c>
      <c r="L134" s="14">
        <v>279</v>
      </c>
      <c r="M134" s="14">
        <v>16894016863.789999</v>
      </c>
      <c r="N134" s="14">
        <v>595</v>
      </c>
      <c r="O134" s="15">
        <v>48159352391.110001</v>
      </c>
    </row>
    <row r="135" spans="1:17" ht="16.5" customHeight="1" x14ac:dyDescent="0.3">
      <c r="A135" s="12" t="s">
        <v>143</v>
      </c>
      <c r="B135" s="13">
        <v>126</v>
      </c>
      <c r="C135" s="13">
        <v>10079797417.220001</v>
      </c>
      <c r="D135" s="14">
        <v>4</v>
      </c>
      <c r="E135" s="14">
        <v>48881154</v>
      </c>
      <c r="F135" s="14">
        <v>1</v>
      </c>
      <c r="G135" s="14">
        <v>3838836</v>
      </c>
      <c r="H135" s="14">
        <v>20</v>
      </c>
      <c r="I135" s="14">
        <v>587518278.74000001</v>
      </c>
      <c r="J135" s="14">
        <v>1</v>
      </c>
      <c r="K135" s="14">
        <v>45944132</v>
      </c>
      <c r="L135" s="14">
        <v>273</v>
      </c>
      <c r="M135" s="14">
        <v>17309714367.209999</v>
      </c>
      <c r="N135" s="14">
        <v>425</v>
      </c>
      <c r="O135" s="15">
        <v>28075694185.170002</v>
      </c>
    </row>
    <row r="136" spans="1:17" ht="16.5" customHeight="1" x14ac:dyDescent="0.3">
      <c r="A136" s="12" t="s">
        <v>144</v>
      </c>
      <c r="B136" s="13">
        <v>212</v>
      </c>
      <c r="C136" s="13">
        <v>17345594443</v>
      </c>
      <c r="D136" s="14">
        <v>1</v>
      </c>
      <c r="E136" s="14">
        <v>6682772</v>
      </c>
      <c r="F136" s="14">
        <v>2</v>
      </c>
      <c r="G136" s="14">
        <v>19037696</v>
      </c>
      <c r="H136" s="14">
        <v>16</v>
      </c>
      <c r="I136" s="14">
        <v>354106034</v>
      </c>
      <c r="J136" s="14"/>
      <c r="K136" s="14"/>
      <c r="L136" s="14">
        <v>310</v>
      </c>
      <c r="M136" s="14">
        <v>12137393782.4</v>
      </c>
      <c r="N136" s="14">
        <v>541</v>
      </c>
      <c r="O136" s="15">
        <v>29862814727.400002</v>
      </c>
      <c r="Q136" s="17">
        <f>SUM(C137,E137,G137,I137)</f>
        <v>1929952169721.8701</v>
      </c>
    </row>
    <row r="137" spans="1:17" ht="18.45" customHeight="1" x14ac:dyDescent="0.3">
      <c r="A137" s="4" t="s">
        <v>145</v>
      </c>
      <c r="B137" s="5">
        <v>12268</v>
      </c>
      <c r="C137" s="5">
        <v>1618110361209.6802</v>
      </c>
      <c r="D137" s="6">
        <v>306</v>
      </c>
      <c r="E137" s="6">
        <v>16071781149.02</v>
      </c>
      <c r="F137" s="6">
        <v>1417</v>
      </c>
      <c r="G137" s="6">
        <v>144978309962.66</v>
      </c>
      <c r="H137" s="6">
        <v>1921</v>
      </c>
      <c r="I137" s="6">
        <v>150791717400.50998</v>
      </c>
      <c r="J137" s="6">
        <v>179</v>
      </c>
      <c r="K137" s="6">
        <v>47390004342.970001</v>
      </c>
      <c r="L137" s="6">
        <v>14959</v>
      </c>
      <c r="M137" s="6">
        <v>1244328862017.25</v>
      </c>
      <c r="N137" s="6">
        <v>31050</v>
      </c>
      <c r="O137" s="7">
        <v>3221671036082.0894</v>
      </c>
    </row>
    <row r="138" spans="1:17" ht="10.050000000000001" customHeight="1" x14ac:dyDescent="0.3">
      <c r="A138" s="18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1:17" ht="25.5" customHeight="1" x14ac:dyDescent="0.3">
      <c r="A139" s="24" t="s">
        <v>146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1:17" ht="14.55" customHeight="1" x14ac:dyDescent="0.3">
      <c r="A140" s="25" t="s">
        <v>1</v>
      </c>
      <c r="B140" s="28" t="s">
        <v>147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spans="1:17" x14ac:dyDescent="0.3">
      <c r="A141" s="26"/>
      <c r="B141" s="30" t="s">
        <v>148</v>
      </c>
      <c r="C141" s="31"/>
      <c r="D141" s="32" t="s">
        <v>149</v>
      </c>
      <c r="E141" s="31"/>
      <c r="F141" s="30" t="s">
        <v>150</v>
      </c>
      <c r="G141" s="31"/>
      <c r="H141" s="30" t="s">
        <v>151</v>
      </c>
      <c r="I141" s="31"/>
      <c r="J141" s="30" t="s">
        <v>152</v>
      </c>
      <c r="K141" s="31"/>
      <c r="L141" s="30" t="s">
        <v>153</v>
      </c>
      <c r="M141" s="31"/>
      <c r="N141" s="30" t="s">
        <v>154</v>
      </c>
      <c r="O141" s="33"/>
    </row>
    <row r="142" spans="1:17" x14ac:dyDescent="0.3">
      <c r="A142" s="27"/>
      <c r="B142" s="21" t="s">
        <v>9</v>
      </c>
      <c r="C142" s="21" t="s">
        <v>10</v>
      </c>
      <c r="D142" s="21" t="s">
        <v>9</v>
      </c>
      <c r="E142" s="21" t="s">
        <v>10</v>
      </c>
      <c r="F142" s="21" t="s">
        <v>9</v>
      </c>
      <c r="G142" s="21" t="s">
        <v>10</v>
      </c>
      <c r="H142" s="21" t="s">
        <v>9</v>
      </c>
      <c r="I142" s="22" t="s">
        <v>10</v>
      </c>
      <c r="J142" s="21" t="s">
        <v>9</v>
      </c>
      <c r="K142" s="22" t="s">
        <v>10</v>
      </c>
      <c r="L142" s="21" t="s">
        <v>9</v>
      </c>
      <c r="M142" s="22" t="s">
        <v>10</v>
      </c>
      <c r="N142" s="21" t="s">
        <v>9</v>
      </c>
      <c r="O142" s="22" t="s">
        <v>10</v>
      </c>
    </row>
    <row r="143" spans="1:17" x14ac:dyDescent="0.3">
      <c r="A143" s="4" t="s">
        <v>11</v>
      </c>
      <c r="B143" s="5">
        <v>256</v>
      </c>
      <c r="C143" s="5">
        <v>26434954802.119999</v>
      </c>
      <c r="D143" s="6">
        <v>312</v>
      </c>
      <c r="E143" s="6">
        <v>34469397283.940002</v>
      </c>
      <c r="F143" s="6">
        <v>272</v>
      </c>
      <c r="G143" s="6">
        <v>23987467701.279999</v>
      </c>
      <c r="H143" s="6">
        <v>246</v>
      </c>
      <c r="I143" s="6">
        <v>20687957692.080002</v>
      </c>
      <c r="J143" s="6">
        <v>82</v>
      </c>
      <c r="K143" s="6">
        <v>4767471554</v>
      </c>
      <c r="L143" s="6">
        <v>626</v>
      </c>
      <c r="M143" s="6">
        <v>71235741461.110001</v>
      </c>
      <c r="N143" s="6">
        <v>1794</v>
      </c>
      <c r="O143" s="7">
        <v>181582990494.53003</v>
      </c>
    </row>
    <row r="144" spans="1:17" x14ac:dyDescent="0.3">
      <c r="A144" s="8" t="s">
        <v>12</v>
      </c>
      <c r="B144" s="9">
        <v>65</v>
      </c>
      <c r="C144" s="9">
        <v>3936195223.1199999</v>
      </c>
      <c r="D144" s="10">
        <v>90</v>
      </c>
      <c r="E144" s="10">
        <v>8934535305</v>
      </c>
      <c r="F144" s="10">
        <v>114</v>
      </c>
      <c r="G144" s="10">
        <v>9658679363</v>
      </c>
      <c r="H144" s="10">
        <v>71</v>
      </c>
      <c r="I144" s="10">
        <v>6248813821</v>
      </c>
      <c r="J144" s="10">
        <v>28</v>
      </c>
      <c r="K144" s="10">
        <v>2327325125</v>
      </c>
      <c r="L144" s="10">
        <v>291</v>
      </c>
      <c r="M144" s="10">
        <v>44147292209</v>
      </c>
      <c r="N144" s="10">
        <v>659</v>
      </c>
      <c r="O144" s="11">
        <v>75252841046.119995</v>
      </c>
    </row>
    <row r="145" spans="1:15" x14ac:dyDescent="0.3">
      <c r="A145" s="12" t="s">
        <v>13</v>
      </c>
      <c r="B145" s="13">
        <v>8</v>
      </c>
      <c r="C145" s="13">
        <v>593649912</v>
      </c>
      <c r="D145" s="14">
        <v>14</v>
      </c>
      <c r="E145" s="14">
        <v>1290965059</v>
      </c>
      <c r="F145" s="14">
        <v>26</v>
      </c>
      <c r="G145" s="14">
        <v>2622348641</v>
      </c>
      <c r="H145" s="14">
        <v>5</v>
      </c>
      <c r="I145" s="14">
        <v>210655987</v>
      </c>
      <c r="J145" s="14">
        <v>4</v>
      </c>
      <c r="K145" s="14">
        <v>196283600</v>
      </c>
      <c r="L145" s="14">
        <v>15</v>
      </c>
      <c r="M145" s="14">
        <v>596360404</v>
      </c>
      <c r="N145" s="14">
        <v>72</v>
      </c>
      <c r="O145" s="15">
        <v>5510263603</v>
      </c>
    </row>
    <row r="146" spans="1:15" x14ac:dyDescent="0.3">
      <c r="A146" s="12" t="s">
        <v>14</v>
      </c>
      <c r="B146" s="13">
        <v>31</v>
      </c>
      <c r="C146" s="13">
        <v>1352468992.1199999</v>
      </c>
      <c r="D146" s="14">
        <v>41</v>
      </c>
      <c r="E146" s="14">
        <v>4296718648</v>
      </c>
      <c r="F146" s="14">
        <v>62</v>
      </c>
      <c r="G146" s="14">
        <v>4688777980</v>
      </c>
      <c r="H146" s="14">
        <v>23</v>
      </c>
      <c r="I146" s="14">
        <v>1681038171</v>
      </c>
      <c r="J146" s="14">
        <v>3</v>
      </c>
      <c r="K146" s="14">
        <v>72535825</v>
      </c>
      <c r="L146" s="14">
        <v>79</v>
      </c>
      <c r="M146" s="14">
        <v>23123577144</v>
      </c>
      <c r="N146" s="14">
        <v>239</v>
      </c>
      <c r="O146" s="15">
        <v>35215116760.119995</v>
      </c>
    </row>
    <row r="147" spans="1:15" x14ac:dyDescent="0.3">
      <c r="A147" s="12" t="s">
        <v>15</v>
      </c>
      <c r="B147" s="13">
        <v>26</v>
      </c>
      <c r="C147" s="13">
        <v>1990076319</v>
      </c>
      <c r="D147" s="14">
        <v>35</v>
      </c>
      <c r="E147" s="14">
        <v>3346851598</v>
      </c>
      <c r="F147" s="14">
        <v>26</v>
      </c>
      <c r="G147" s="14">
        <v>2347552742</v>
      </c>
      <c r="H147" s="14">
        <v>43</v>
      </c>
      <c r="I147" s="14">
        <v>4357119663</v>
      </c>
      <c r="J147" s="14">
        <v>21</v>
      </c>
      <c r="K147" s="14">
        <v>2058505700</v>
      </c>
      <c r="L147" s="14">
        <v>197</v>
      </c>
      <c r="M147" s="14">
        <v>20427354661</v>
      </c>
      <c r="N147" s="14">
        <v>348</v>
      </c>
      <c r="O147" s="15">
        <v>34527460683</v>
      </c>
    </row>
    <row r="148" spans="1:15" x14ac:dyDescent="0.3">
      <c r="A148" s="8" t="s">
        <v>16</v>
      </c>
      <c r="B148" s="9">
        <v>191</v>
      </c>
      <c r="C148" s="9">
        <v>22498759579</v>
      </c>
      <c r="D148" s="10">
        <v>222</v>
      </c>
      <c r="E148" s="10">
        <v>25534861978.939999</v>
      </c>
      <c r="F148" s="10">
        <v>158</v>
      </c>
      <c r="G148" s="10">
        <v>14328788338.279999</v>
      </c>
      <c r="H148" s="10">
        <v>175</v>
      </c>
      <c r="I148" s="10">
        <v>14439143871.080002</v>
      </c>
      <c r="J148" s="10">
        <v>54</v>
      </c>
      <c r="K148" s="10">
        <v>2440146429</v>
      </c>
      <c r="L148" s="10">
        <v>335</v>
      </c>
      <c r="M148" s="10">
        <v>27088449252.110001</v>
      </c>
      <c r="N148" s="10">
        <v>1135</v>
      </c>
      <c r="O148" s="11">
        <v>106330149448.41</v>
      </c>
    </row>
    <row r="149" spans="1:15" x14ac:dyDescent="0.3">
      <c r="A149" s="12" t="s">
        <v>17</v>
      </c>
      <c r="B149" s="13">
        <v>13</v>
      </c>
      <c r="C149" s="13">
        <v>5676453954</v>
      </c>
      <c r="D149" s="14">
        <v>18</v>
      </c>
      <c r="E149" s="14">
        <v>7017792263</v>
      </c>
      <c r="F149" s="14">
        <v>2</v>
      </c>
      <c r="G149" s="14">
        <v>48771741</v>
      </c>
      <c r="H149" s="14">
        <v>4</v>
      </c>
      <c r="I149" s="14">
        <v>464851574</v>
      </c>
      <c r="J149" s="14">
        <v>5</v>
      </c>
      <c r="K149" s="14">
        <v>254579648</v>
      </c>
      <c r="L149" s="14">
        <v>24</v>
      </c>
      <c r="M149" s="14">
        <v>7392881793</v>
      </c>
      <c r="N149" s="14">
        <v>66</v>
      </c>
      <c r="O149" s="15">
        <v>20855330973</v>
      </c>
    </row>
    <row r="150" spans="1:15" x14ac:dyDescent="0.3">
      <c r="A150" s="12" t="s">
        <v>18</v>
      </c>
      <c r="B150" s="13">
        <v>27</v>
      </c>
      <c r="C150" s="13">
        <v>2487867603</v>
      </c>
      <c r="D150" s="14">
        <v>13</v>
      </c>
      <c r="E150" s="14">
        <v>663625266</v>
      </c>
      <c r="F150" s="14">
        <v>20</v>
      </c>
      <c r="G150" s="14">
        <v>604067114</v>
      </c>
      <c r="H150" s="14">
        <v>19</v>
      </c>
      <c r="I150" s="14">
        <v>1581510238</v>
      </c>
      <c r="J150" s="14">
        <v>11</v>
      </c>
      <c r="K150" s="14">
        <v>364493027</v>
      </c>
      <c r="L150" s="14">
        <v>64</v>
      </c>
      <c r="M150" s="14">
        <v>4622603208.1100006</v>
      </c>
      <c r="N150" s="14">
        <v>154</v>
      </c>
      <c r="O150" s="15">
        <v>10324166456.110001</v>
      </c>
    </row>
    <row r="151" spans="1:15" x14ac:dyDescent="0.3">
      <c r="A151" s="12" t="s">
        <v>19</v>
      </c>
      <c r="B151" s="13">
        <v>45</v>
      </c>
      <c r="C151" s="13">
        <v>2607822137</v>
      </c>
      <c r="D151" s="14">
        <v>46</v>
      </c>
      <c r="E151" s="14">
        <v>2132692608.05</v>
      </c>
      <c r="F151" s="14">
        <v>32</v>
      </c>
      <c r="G151" s="14">
        <v>1512554517</v>
      </c>
      <c r="H151" s="14">
        <v>26</v>
      </c>
      <c r="I151" s="14">
        <v>2030315603</v>
      </c>
      <c r="J151" s="14">
        <v>13</v>
      </c>
      <c r="K151" s="14">
        <v>639712471</v>
      </c>
      <c r="L151" s="14">
        <v>76</v>
      </c>
      <c r="M151" s="14">
        <v>3345063882</v>
      </c>
      <c r="N151" s="14">
        <v>238</v>
      </c>
      <c r="O151" s="15">
        <v>12268161218.049999</v>
      </c>
    </row>
    <row r="152" spans="1:15" x14ac:dyDescent="0.3">
      <c r="A152" s="12" t="s">
        <v>20</v>
      </c>
      <c r="B152" s="13">
        <v>52</v>
      </c>
      <c r="C152" s="13">
        <v>3044881169</v>
      </c>
      <c r="D152" s="14">
        <v>113</v>
      </c>
      <c r="E152" s="14">
        <v>10773045294.890001</v>
      </c>
      <c r="F152" s="14">
        <v>47</v>
      </c>
      <c r="G152" s="14">
        <v>2572862827.2800002</v>
      </c>
      <c r="H152" s="14">
        <v>64</v>
      </c>
      <c r="I152" s="14">
        <v>4168362401</v>
      </c>
      <c r="J152" s="14">
        <v>21</v>
      </c>
      <c r="K152" s="14">
        <v>817185674</v>
      </c>
      <c r="L152" s="14">
        <v>154</v>
      </c>
      <c r="M152" s="14">
        <v>10031617463</v>
      </c>
      <c r="N152" s="14">
        <v>451</v>
      </c>
      <c r="O152" s="15">
        <v>31407954829.170002</v>
      </c>
    </row>
    <row r="153" spans="1:15" x14ac:dyDescent="0.3">
      <c r="A153" s="12" t="s">
        <v>21</v>
      </c>
      <c r="B153" s="13">
        <v>54</v>
      </c>
      <c r="C153" s="13">
        <v>8681734716</v>
      </c>
      <c r="D153" s="14">
        <v>32</v>
      </c>
      <c r="E153" s="14">
        <v>4947706547</v>
      </c>
      <c r="F153" s="14">
        <v>57</v>
      </c>
      <c r="G153" s="14">
        <v>9590532139</v>
      </c>
      <c r="H153" s="14">
        <v>62</v>
      </c>
      <c r="I153" s="14">
        <v>6194104055.0799999</v>
      </c>
      <c r="J153" s="14">
        <v>4</v>
      </c>
      <c r="K153" s="14">
        <v>364175609</v>
      </c>
      <c r="L153" s="14">
        <v>17</v>
      </c>
      <c r="M153" s="14">
        <v>1696282906</v>
      </c>
      <c r="N153" s="14">
        <v>226</v>
      </c>
      <c r="O153" s="15">
        <v>31474535972.080002</v>
      </c>
    </row>
    <row r="154" spans="1:15" x14ac:dyDescent="0.3">
      <c r="A154" s="4" t="s">
        <v>22</v>
      </c>
      <c r="B154" s="5">
        <v>230</v>
      </c>
      <c r="C154" s="5">
        <v>25224891513</v>
      </c>
      <c r="D154" s="6">
        <v>256</v>
      </c>
      <c r="E154" s="6">
        <v>39047340496.619995</v>
      </c>
      <c r="F154" s="6">
        <v>769</v>
      </c>
      <c r="G154" s="6">
        <v>145023640414.51999</v>
      </c>
      <c r="H154" s="6">
        <v>161</v>
      </c>
      <c r="I154" s="6">
        <v>13346065701.569998</v>
      </c>
      <c r="J154" s="6">
        <v>85</v>
      </c>
      <c r="K154" s="6">
        <v>7949219093.6100006</v>
      </c>
      <c r="L154" s="6">
        <v>541</v>
      </c>
      <c r="M154" s="6">
        <v>70861363107.449997</v>
      </c>
      <c r="N154" s="6">
        <v>2042</v>
      </c>
      <c r="O154" s="7">
        <v>301452520326.77002</v>
      </c>
    </row>
    <row r="155" spans="1:15" x14ac:dyDescent="0.3">
      <c r="A155" s="8" t="s">
        <v>23</v>
      </c>
      <c r="B155" s="9">
        <v>108</v>
      </c>
      <c r="C155" s="9">
        <v>12476948781</v>
      </c>
      <c r="D155" s="10">
        <v>117</v>
      </c>
      <c r="E155" s="10">
        <v>21363231434.349998</v>
      </c>
      <c r="F155" s="10">
        <v>236</v>
      </c>
      <c r="G155" s="10">
        <v>59023440055.199997</v>
      </c>
      <c r="H155" s="10">
        <v>58</v>
      </c>
      <c r="I155" s="10">
        <v>5690194826.6199999</v>
      </c>
      <c r="J155" s="10">
        <v>41</v>
      </c>
      <c r="K155" s="10">
        <v>4817280909</v>
      </c>
      <c r="L155" s="10">
        <v>247</v>
      </c>
      <c r="M155" s="10">
        <v>37398718867.339996</v>
      </c>
      <c r="N155" s="10">
        <v>807</v>
      </c>
      <c r="O155" s="11">
        <v>140769814873.51001</v>
      </c>
    </row>
    <row r="156" spans="1:15" x14ac:dyDescent="0.3">
      <c r="A156" s="12" t="s">
        <v>24</v>
      </c>
      <c r="B156" s="13">
        <v>23</v>
      </c>
      <c r="C156" s="13">
        <v>1977809914</v>
      </c>
      <c r="D156" s="14">
        <v>21</v>
      </c>
      <c r="E156" s="14">
        <v>1931725291.51</v>
      </c>
      <c r="F156" s="14">
        <v>60</v>
      </c>
      <c r="G156" s="14">
        <v>19462179582</v>
      </c>
      <c r="H156" s="14">
        <v>7</v>
      </c>
      <c r="I156" s="14">
        <v>620829525</v>
      </c>
      <c r="J156" s="14">
        <v>6</v>
      </c>
      <c r="K156" s="14">
        <v>711314899</v>
      </c>
      <c r="L156" s="14">
        <v>42</v>
      </c>
      <c r="M156" s="14">
        <v>10697633374.77</v>
      </c>
      <c r="N156" s="14">
        <v>159</v>
      </c>
      <c r="O156" s="15">
        <v>35401492586.279999</v>
      </c>
    </row>
    <row r="157" spans="1:15" x14ac:dyDescent="0.3">
      <c r="A157" s="12" t="s">
        <v>25</v>
      </c>
      <c r="B157" s="13">
        <v>41</v>
      </c>
      <c r="C157" s="13">
        <v>5630725204</v>
      </c>
      <c r="D157" s="14">
        <v>71</v>
      </c>
      <c r="E157" s="14">
        <v>17141513140.84</v>
      </c>
      <c r="F157" s="14">
        <v>77</v>
      </c>
      <c r="G157" s="14">
        <v>10402382577</v>
      </c>
      <c r="H157" s="14">
        <v>28</v>
      </c>
      <c r="I157" s="14">
        <v>2225334685.29</v>
      </c>
      <c r="J157" s="14">
        <v>16</v>
      </c>
      <c r="K157" s="14">
        <v>1789402971</v>
      </c>
      <c r="L157" s="14">
        <v>75</v>
      </c>
      <c r="M157" s="14">
        <v>10126223757.48</v>
      </c>
      <c r="N157" s="14">
        <v>308</v>
      </c>
      <c r="O157" s="15">
        <v>47315582335.610001</v>
      </c>
    </row>
    <row r="158" spans="1:15" x14ac:dyDescent="0.3">
      <c r="A158" s="12" t="s">
        <v>26</v>
      </c>
      <c r="B158" s="13">
        <v>44</v>
      </c>
      <c r="C158" s="13">
        <v>4868413663</v>
      </c>
      <c r="D158" s="14">
        <v>25</v>
      </c>
      <c r="E158" s="14">
        <v>2289993002</v>
      </c>
      <c r="F158" s="14">
        <v>99</v>
      </c>
      <c r="G158" s="14">
        <v>29158877896.200001</v>
      </c>
      <c r="H158" s="14">
        <v>23</v>
      </c>
      <c r="I158" s="14">
        <v>2844030616.3299999</v>
      </c>
      <c r="J158" s="14">
        <v>19</v>
      </c>
      <c r="K158" s="14">
        <v>2316563039</v>
      </c>
      <c r="L158" s="14">
        <v>130</v>
      </c>
      <c r="M158" s="14">
        <v>16574861735.09</v>
      </c>
      <c r="N158" s="14">
        <v>340</v>
      </c>
      <c r="O158" s="15">
        <v>58052739951.619995</v>
      </c>
    </row>
    <row r="159" spans="1:15" x14ac:dyDescent="0.3">
      <c r="A159" s="8" t="s">
        <v>27</v>
      </c>
      <c r="B159" s="9">
        <v>68</v>
      </c>
      <c r="C159" s="9">
        <v>8685374390</v>
      </c>
      <c r="D159" s="10">
        <v>68</v>
      </c>
      <c r="E159" s="10">
        <v>11456531255.1</v>
      </c>
      <c r="F159" s="10">
        <v>270</v>
      </c>
      <c r="G159" s="10">
        <v>58905333831</v>
      </c>
      <c r="H159" s="10">
        <v>54</v>
      </c>
      <c r="I159" s="10">
        <v>3529077917.0699997</v>
      </c>
      <c r="J159" s="10">
        <v>31</v>
      </c>
      <c r="K159" s="10">
        <v>2333264424.9300003</v>
      </c>
      <c r="L159" s="10">
        <v>183</v>
      </c>
      <c r="M159" s="10">
        <v>23850960838.110001</v>
      </c>
      <c r="N159" s="10">
        <v>674</v>
      </c>
      <c r="O159" s="11">
        <v>108760542656.20999</v>
      </c>
    </row>
    <row r="160" spans="1:15" x14ac:dyDescent="0.3">
      <c r="A160" s="12" t="s">
        <v>28</v>
      </c>
      <c r="B160" s="13">
        <v>46</v>
      </c>
      <c r="C160" s="13">
        <v>4071292666</v>
      </c>
      <c r="D160" s="14">
        <v>47</v>
      </c>
      <c r="E160" s="14">
        <v>4252211782.0999999</v>
      </c>
      <c r="F160" s="14">
        <v>219</v>
      </c>
      <c r="G160" s="14">
        <v>38229735948</v>
      </c>
      <c r="H160" s="14">
        <v>44</v>
      </c>
      <c r="I160" s="14">
        <v>1735876656.0699999</v>
      </c>
      <c r="J160" s="14">
        <v>21</v>
      </c>
      <c r="K160" s="14">
        <v>1448035146.9300001</v>
      </c>
      <c r="L160" s="14">
        <v>129</v>
      </c>
      <c r="M160" s="14">
        <v>13665904412.110001</v>
      </c>
      <c r="N160" s="14">
        <v>506</v>
      </c>
      <c r="O160" s="15">
        <v>63403056611.209999</v>
      </c>
    </row>
    <row r="161" spans="1:15" x14ac:dyDescent="0.3">
      <c r="A161" s="12" t="s">
        <v>29</v>
      </c>
      <c r="B161" s="13">
        <v>22</v>
      </c>
      <c r="C161" s="13">
        <v>4614081724</v>
      </c>
      <c r="D161" s="14">
        <v>21</v>
      </c>
      <c r="E161" s="14">
        <v>7204319473</v>
      </c>
      <c r="F161" s="14">
        <v>51</v>
      </c>
      <c r="G161" s="14">
        <v>20675597883</v>
      </c>
      <c r="H161" s="14">
        <v>10</v>
      </c>
      <c r="I161" s="14">
        <v>1793201261</v>
      </c>
      <c r="J161" s="14">
        <v>10</v>
      </c>
      <c r="K161" s="14">
        <v>885229278</v>
      </c>
      <c r="L161" s="14">
        <v>54</v>
      </c>
      <c r="M161" s="14">
        <v>10185056426</v>
      </c>
      <c r="N161" s="14">
        <v>168</v>
      </c>
      <c r="O161" s="15">
        <v>45357486045</v>
      </c>
    </row>
    <row r="162" spans="1:15" x14ac:dyDescent="0.3">
      <c r="A162" s="8" t="s">
        <v>30</v>
      </c>
      <c r="B162" s="9">
        <v>54</v>
      </c>
      <c r="C162" s="9">
        <v>4062568342</v>
      </c>
      <c r="D162" s="10">
        <v>71</v>
      </c>
      <c r="E162" s="10">
        <v>6227577807.1700001</v>
      </c>
      <c r="F162" s="10">
        <v>263</v>
      </c>
      <c r="G162" s="10">
        <v>27094866528.32</v>
      </c>
      <c r="H162" s="10">
        <v>49</v>
      </c>
      <c r="I162" s="10">
        <v>4126792957.8800001</v>
      </c>
      <c r="J162" s="10">
        <v>13</v>
      </c>
      <c r="K162" s="10">
        <v>798673759.68000007</v>
      </c>
      <c r="L162" s="10">
        <v>111</v>
      </c>
      <c r="M162" s="10">
        <v>9611683402</v>
      </c>
      <c r="N162" s="10">
        <v>561</v>
      </c>
      <c r="O162" s="11">
        <v>51922162797.049995</v>
      </c>
    </row>
    <row r="163" spans="1:15" x14ac:dyDescent="0.3">
      <c r="A163" s="12" t="s">
        <v>31</v>
      </c>
      <c r="B163" s="13">
        <v>16</v>
      </c>
      <c r="C163" s="13">
        <v>1048605850</v>
      </c>
      <c r="D163" s="14">
        <v>33</v>
      </c>
      <c r="E163" s="14">
        <v>3488087877</v>
      </c>
      <c r="F163" s="14">
        <v>101</v>
      </c>
      <c r="G163" s="14">
        <v>10801045756.67</v>
      </c>
      <c r="H163" s="14">
        <v>18</v>
      </c>
      <c r="I163" s="14">
        <v>1293502391</v>
      </c>
      <c r="J163" s="14">
        <v>4</v>
      </c>
      <c r="K163" s="14">
        <v>297923393.68000001</v>
      </c>
      <c r="L163" s="14">
        <v>40</v>
      </c>
      <c r="M163" s="14">
        <v>3335364736</v>
      </c>
      <c r="N163" s="14">
        <v>212</v>
      </c>
      <c r="O163" s="15">
        <v>20264530004.349998</v>
      </c>
    </row>
    <row r="164" spans="1:15" x14ac:dyDescent="0.3">
      <c r="A164" s="12" t="s">
        <v>32</v>
      </c>
      <c r="B164" s="13">
        <v>15</v>
      </c>
      <c r="C164" s="13">
        <v>1192142114</v>
      </c>
      <c r="D164" s="14">
        <v>16</v>
      </c>
      <c r="E164" s="14">
        <v>1033940750</v>
      </c>
      <c r="F164" s="14">
        <v>51</v>
      </c>
      <c r="G164" s="14">
        <v>5549896455</v>
      </c>
      <c r="H164" s="14">
        <v>18</v>
      </c>
      <c r="I164" s="14">
        <v>1288909023.8800001</v>
      </c>
      <c r="J164" s="14">
        <v>6</v>
      </c>
      <c r="K164" s="14">
        <v>441538345</v>
      </c>
      <c r="L164" s="14">
        <v>56</v>
      </c>
      <c r="M164" s="14">
        <v>5223572199</v>
      </c>
      <c r="N164" s="14">
        <v>162</v>
      </c>
      <c r="O164" s="15">
        <v>14729998886.879999</v>
      </c>
    </row>
    <row r="165" spans="1:15" x14ac:dyDescent="0.3">
      <c r="A165" s="12" t="s">
        <v>33</v>
      </c>
      <c r="B165" s="13">
        <v>12</v>
      </c>
      <c r="C165" s="13">
        <v>1150086054</v>
      </c>
      <c r="D165" s="14">
        <v>10</v>
      </c>
      <c r="E165" s="14">
        <v>788478356</v>
      </c>
      <c r="F165" s="14">
        <v>80</v>
      </c>
      <c r="G165" s="14">
        <v>7764103462.6499996</v>
      </c>
      <c r="H165" s="14">
        <v>4</v>
      </c>
      <c r="I165" s="14">
        <v>321718547</v>
      </c>
      <c r="J165" s="14"/>
      <c r="K165" s="14"/>
      <c r="L165" s="14">
        <v>8</v>
      </c>
      <c r="M165" s="14">
        <v>718421332</v>
      </c>
      <c r="N165" s="14">
        <v>114</v>
      </c>
      <c r="O165" s="15">
        <v>10742807751.65</v>
      </c>
    </row>
    <row r="166" spans="1:15" x14ac:dyDescent="0.3">
      <c r="A166" s="12" t="s">
        <v>34</v>
      </c>
      <c r="B166" s="13">
        <v>11</v>
      </c>
      <c r="C166" s="13">
        <v>671734324</v>
      </c>
      <c r="D166" s="14">
        <v>12</v>
      </c>
      <c r="E166" s="14">
        <v>917070824.16999996</v>
      </c>
      <c r="F166" s="14">
        <v>31</v>
      </c>
      <c r="G166" s="14">
        <v>2979820854</v>
      </c>
      <c r="H166" s="14">
        <v>9</v>
      </c>
      <c r="I166" s="14">
        <v>1222662996</v>
      </c>
      <c r="J166" s="14">
        <v>3</v>
      </c>
      <c r="K166" s="14">
        <v>59212021</v>
      </c>
      <c r="L166" s="14">
        <v>7</v>
      </c>
      <c r="M166" s="14">
        <v>334325135</v>
      </c>
      <c r="N166" s="14">
        <v>73</v>
      </c>
      <c r="O166" s="15">
        <v>6184826154.1700001</v>
      </c>
    </row>
    <row r="167" spans="1:15" x14ac:dyDescent="0.3">
      <c r="A167" s="4" t="s">
        <v>35</v>
      </c>
      <c r="B167" s="5">
        <v>93</v>
      </c>
      <c r="C167" s="5">
        <v>6349123830.7199993</v>
      </c>
      <c r="D167" s="6">
        <v>106</v>
      </c>
      <c r="E167" s="6">
        <v>8776700422</v>
      </c>
      <c r="F167" s="6">
        <v>122</v>
      </c>
      <c r="G167" s="6">
        <v>9594714727.5100002</v>
      </c>
      <c r="H167" s="6">
        <v>113</v>
      </c>
      <c r="I167" s="6">
        <v>9466049747.5400009</v>
      </c>
      <c r="J167" s="6">
        <v>44</v>
      </c>
      <c r="K167" s="6">
        <v>3465374161.1100001</v>
      </c>
      <c r="L167" s="6">
        <v>260</v>
      </c>
      <c r="M167" s="6">
        <v>23352379610.93</v>
      </c>
      <c r="N167" s="6">
        <v>738</v>
      </c>
      <c r="O167" s="7">
        <v>61004342499.809998</v>
      </c>
    </row>
    <row r="168" spans="1:15" x14ac:dyDescent="0.3">
      <c r="A168" s="8" t="s">
        <v>36</v>
      </c>
      <c r="B168" s="9">
        <v>45</v>
      </c>
      <c r="C168" s="9">
        <v>2785555364</v>
      </c>
      <c r="D168" s="10">
        <v>53</v>
      </c>
      <c r="E168" s="10">
        <v>3290364097</v>
      </c>
      <c r="F168" s="10">
        <v>55</v>
      </c>
      <c r="G168" s="10">
        <v>4794547076.8800001</v>
      </c>
      <c r="H168" s="10">
        <v>57</v>
      </c>
      <c r="I168" s="10">
        <v>5194872072.3400002</v>
      </c>
      <c r="J168" s="10">
        <v>24</v>
      </c>
      <c r="K168" s="10">
        <v>1574878214.1100001</v>
      </c>
      <c r="L168" s="10">
        <v>149</v>
      </c>
      <c r="M168" s="10">
        <v>13285600508.93</v>
      </c>
      <c r="N168" s="10">
        <v>383</v>
      </c>
      <c r="O168" s="11">
        <v>30925817333.259998</v>
      </c>
    </row>
    <row r="169" spans="1:15" x14ac:dyDescent="0.3">
      <c r="A169" s="12" t="s">
        <v>37</v>
      </c>
      <c r="B169" s="13">
        <v>6</v>
      </c>
      <c r="C169" s="13">
        <v>310146058</v>
      </c>
      <c r="D169" s="14">
        <v>9</v>
      </c>
      <c r="E169" s="14">
        <v>640856985</v>
      </c>
      <c r="F169" s="14">
        <v>9</v>
      </c>
      <c r="G169" s="14">
        <v>474263517.89999998</v>
      </c>
      <c r="H169" s="14">
        <v>10</v>
      </c>
      <c r="I169" s="14">
        <v>1465014830</v>
      </c>
      <c r="J169" s="14">
        <v>2</v>
      </c>
      <c r="K169" s="14">
        <v>246646303</v>
      </c>
      <c r="L169" s="14">
        <v>30</v>
      </c>
      <c r="M169" s="14">
        <v>3164080272</v>
      </c>
      <c r="N169" s="14">
        <v>66</v>
      </c>
      <c r="O169" s="15">
        <v>6301007965.8999996</v>
      </c>
    </row>
    <row r="170" spans="1:15" x14ac:dyDescent="0.3">
      <c r="A170" s="12" t="s">
        <v>38</v>
      </c>
      <c r="B170" s="13">
        <v>17</v>
      </c>
      <c r="C170" s="13">
        <v>923398871</v>
      </c>
      <c r="D170" s="14">
        <v>20</v>
      </c>
      <c r="E170" s="14">
        <v>949821687</v>
      </c>
      <c r="F170" s="14">
        <v>17</v>
      </c>
      <c r="G170" s="14">
        <v>1018051889</v>
      </c>
      <c r="H170" s="14">
        <v>29</v>
      </c>
      <c r="I170" s="14">
        <v>971103921.34000003</v>
      </c>
      <c r="J170" s="14">
        <v>11</v>
      </c>
      <c r="K170" s="14">
        <v>736060248.21999991</v>
      </c>
      <c r="L170" s="14">
        <v>70</v>
      </c>
      <c r="M170" s="14">
        <v>3825476235.3599997</v>
      </c>
      <c r="N170" s="14">
        <v>164</v>
      </c>
      <c r="O170" s="15">
        <v>8423912851.920001</v>
      </c>
    </row>
    <row r="171" spans="1:15" x14ac:dyDescent="0.3">
      <c r="A171" s="12" t="s">
        <v>39</v>
      </c>
      <c r="B171" s="13">
        <v>18</v>
      </c>
      <c r="C171" s="13">
        <v>1026791909</v>
      </c>
      <c r="D171" s="14">
        <v>15</v>
      </c>
      <c r="E171" s="14">
        <v>946042157</v>
      </c>
      <c r="F171" s="14">
        <v>19</v>
      </c>
      <c r="G171" s="14">
        <v>1618145902.98</v>
      </c>
      <c r="H171" s="14">
        <v>8</v>
      </c>
      <c r="I171" s="14">
        <v>1195500878</v>
      </c>
      <c r="J171" s="14">
        <v>5</v>
      </c>
      <c r="K171" s="14">
        <v>279112363</v>
      </c>
      <c r="L171" s="14">
        <v>19</v>
      </c>
      <c r="M171" s="14">
        <v>1863398655.5699999</v>
      </c>
      <c r="N171" s="14">
        <v>84</v>
      </c>
      <c r="O171" s="15">
        <v>6928991865.5499992</v>
      </c>
    </row>
    <row r="172" spans="1:15" x14ac:dyDescent="0.3">
      <c r="A172" s="12" t="s">
        <v>40</v>
      </c>
      <c r="B172" s="13">
        <v>4</v>
      </c>
      <c r="C172" s="13">
        <v>525218526</v>
      </c>
      <c r="D172" s="14">
        <v>9</v>
      </c>
      <c r="E172" s="14">
        <v>753643268</v>
      </c>
      <c r="F172" s="14">
        <v>10</v>
      </c>
      <c r="G172" s="14">
        <v>1684085767</v>
      </c>
      <c r="H172" s="14">
        <v>10</v>
      </c>
      <c r="I172" s="14">
        <v>1563252443</v>
      </c>
      <c r="J172" s="14">
        <v>6</v>
      </c>
      <c r="K172" s="14">
        <v>313059299.88999999</v>
      </c>
      <c r="L172" s="14">
        <v>30</v>
      </c>
      <c r="M172" s="14">
        <v>4432645346</v>
      </c>
      <c r="N172" s="14">
        <v>69</v>
      </c>
      <c r="O172" s="15">
        <v>9271904649.8899994</v>
      </c>
    </row>
    <row r="173" spans="1:15" x14ac:dyDescent="0.3">
      <c r="A173" s="8" t="s">
        <v>41</v>
      </c>
      <c r="B173" s="9">
        <v>48</v>
      </c>
      <c r="C173" s="9">
        <v>3563568466.7200003</v>
      </c>
      <c r="D173" s="10">
        <v>53</v>
      </c>
      <c r="E173" s="10">
        <v>5486336325</v>
      </c>
      <c r="F173" s="10">
        <v>67</v>
      </c>
      <c r="G173" s="10">
        <v>4800167650.6300001</v>
      </c>
      <c r="H173" s="10">
        <v>56</v>
      </c>
      <c r="I173" s="10">
        <v>4271177675.2000003</v>
      </c>
      <c r="J173" s="10">
        <v>20</v>
      </c>
      <c r="K173" s="10">
        <v>1890495947</v>
      </c>
      <c r="L173" s="10">
        <v>111</v>
      </c>
      <c r="M173" s="10">
        <v>10066779102</v>
      </c>
      <c r="N173" s="10">
        <v>355</v>
      </c>
      <c r="O173" s="11">
        <v>30078525166.549999</v>
      </c>
    </row>
    <row r="174" spans="1:15" x14ac:dyDescent="0.3">
      <c r="A174" s="12" t="s">
        <v>42</v>
      </c>
      <c r="B174" s="13">
        <v>11</v>
      </c>
      <c r="C174" s="13">
        <v>726483244</v>
      </c>
      <c r="D174" s="14">
        <v>17</v>
      </c>
      <c r="E174" s="14">
        <v>1322408498</v>
      </c>
      <c r="F174" s="14">
        <v>23</v>
      </c>
      <c r="G174" s="14">
        <v>1307072706</v>
      </c>
      <c r="H174" s="14">
        <v>20</v>
      </c>
      <c r="I174" s="14">
        <v>1472018374</v>
      </c>
      <c r="J174" s="14">
        <v>7</v>
      </c>
      <c r="K174" s="14">
        <v>330569618</v>
      </c>
      <c r="L174" s="14">
        <v>20</v>
      </c>
      <c r="M174" s="14">
        <v>1350599061</v>
      </c>
      <c r="N174" s="14">
        <v>98</v>
      </c>
      <c r="O174" s="15">
        <v>6509151501</v>
      </c>
    </row>
    <row r="175" spans="1:15" x14ac:dyDescent="0.3">
      <c r="A175" s="12" t="s">
        <v>43</v>
      </c>
      <c r="B175" s="13">
        <v>16</v>
      </c>
      <c r="C175" s="13">
        <v>1182478961.72</v>
      </c>
      <c r="D175" s="14">
        <v>14</v>
      </c>
      <c r="E175" s="14">
        <v>921457012</v>
      </c>
      <c r="F175" s="14">
        <v>21</v>
      </c>
      <c r="G175" s="14">
        <v>1605140051.6300001</v>
      </c>
      <c r="H175" s="14">
        <v>16</v>
      </c>
      <c r="I175" s="14">
        <v>1261938926.1999998</v>
      </c>
      <c r="J175" s="14">
        <v>4</v>
      </c>
      <c r="K175" s="14">
        <v>304804632</v>
      </c>
      <c r="L175" s="14">
        <v>27</v>
      </c>
      <c r="M175" s="14">
        <v>1943989781</v>
      </c>
      <c r="N175" s="14">
        <v>98</v>
      </c>
      <c r="O175" s="15">
        <v>7219809364.5500002</v>
      </c>
    </row>
    <row r="176" spans="1:15" x14ac:dyDescent="0.3">
      <c r="A176" s="12" t="s">
        <v>44</v>
      </c>
      <c r="B176" s="13">
        <v>5</v>
      </c>
      <c r="C176" s="13">
        <v>217623680</v>
      </c>
      <c r="D176" s="14">
        <v>12</v>
      </c>
      <c r="E176" s="14">
        <v>2510375473</v>
      </c>
      <c r="F176" s="14">
        <v>16</v>
      </c>
      <c r="G176" s="14">
        <v>1169123858</v>
      </c>
      <c r="H176" s="14">
        <v>7</v>
      </c>
      <c r="I176" s="14">
        <v>848529110</v>
      </c>
      <c r="J176" s="14">
        <v>2</v>
      </c>
      <c r="K176" s="14">
        <v>326729996</v>
      </c>
      <c r="L176" s="14">
        <v>40</v>
      </c>
      <c r="M176" s="14">
        <v>3798148614</v>
      </c>
      <c r="N176" s="14">
        <v>82</v>
      </c>
      <c r="O176" s="15">
        <v>8870530731</v>
      </c>
    </row>
    <row r="177" spans="1:15" x14ac:dyDescent="0.3">
      <c r="A177" s="12" t="s">
        <v>45</v>
      </c>
      <c r="B177" s="13">
        <v>16</v>
      </c>
      <c r="C177" s="13">
        <v>1436982581</v>
      </c>
      <c r="D177" s="14">
        <v>10</v>
      </c>
      <c r="E177" s="14">
        <v>732095342</v>
      </c>
      <c r="F177" s="14">
        <v>7</v>
      </c>
      <c r="G177" s="14">
        <v>718831035</v>
      </c>
      <c r="H177" s="14">
        <v>13</v>
      </c>
      <c r="I177" s="14">
        <v>688691265</v>
      </c>
      <c r="J177" s="14">
        <v>7</v>
      </c>
      <c r="K177" s="14">
        <v>928391701</v>
      </c>
      <c r="L177" s="14">
        <v>24</v>
      </c>
      <c r="M177" s="14">
        <v>2974041646</v>
      </c>
      <c r="N177" s="14">
        <v>77</v>
      </c>
      <c r="O177" s="15">
        <v>7479033570</v>
      </c>
    </row>
    <row r="178" spans="1:15" x14ac:dyDescent="0.3">
      <c r="A178" s="4" t="s">
        <v>46</v>
      </c>
      <c r="B178" s="5">
        <v>238</v>
      </c>
      <c r="C178" s="5">
        <v>45879128736.290001</v>
      </c>
      <c r="D178" s="6">
        <v>207</v>
      </c>
      <c r="E178" s="6">
        <v>24450887821.920002</v>
      </c>
      <c r="F178" s="6">
        <v>293</v>
      </c>
      <c r="G178" s="6">
        <v>46543554881.059998</v>
      </c>
      <c r="H178" s="6">
        <v>217</v>
      </c>
      <c r="I178" s="6">
        <v>24519384396.73</v>
      </c>
      <c r="J178" s="6">
        <v>75</v>
      </c>
      <c r="K178" s="6">
        <v>10203749392.880001</v>
      </c>
      <c r="L178" s="6">
        <v>373</v>
      </c>
      <c r="M178" s="6">
        <v>47059229523.090004</v>
      </c>
      <c r="N178" s="6">
        <v>1403</v>
      </c>
      <c r="O178" s="7">
        <v>198655934751.97</v>
      </c>
    </row>
    <row r="179" spans="1:15" x14ac:dyDescent="0.3">
      <c r="A179" s="8" t="s">
        <v>47</v>
      </c>
      <c r="B179" s="9">
        <v>40</v>
      </c>
      <c r="C179" s="9">
        <v>6629126084</v>
      </c>
      <c r="D179" s="10">
        <v>45</v>
      </c>
      <c r="E179" s="10">
        <v>6280909998.0600004</v>
      </c>
      <c r="F179" s="10">
        <v>51</v>
      </c>
      <c r="G179" s="10">
        <v>4802857289.9799995</v>
      </c>
      <c r="H179" s="10">
        <v>45</v>
      </c>
      <c r="I179" s="10">
        <v>5882002209.7299995</v>
      </c>
      <c r="J179" s="10">
        <v>18</v>
      </c>
      <c r="K179" s="10">
        <v>2192718569.8800001</v>
      </c>
      <c r="L179" s="10">
        <v>86</v>
      </c>
      <c r="M179" s="10">
        <v>12487548720</v>
      </c>
      <c r="N179" s="10">
        <v>285</v>
      </c>
      <c r="O179" s="11">
        <v>38275162871.650002</v>
      </c>
    </row>
    <row r="180" spans="1:15" x14ac:dyDescent="0.3">
      <c r="A180" s="12" t="s">
        <v>48</v>
      </c>
      <c r="B180" s="13">
        <v>2</v>
      </c>
      <c r="C180" s="13">
        <v>1231584627</v>
      </c>
      <c r="D180" s="14">
        <v>2</v>
      </c>
      <c r="E180" s="14">
        <v>835381410</v>
      </c>
      <c r="F180" s="14">
        <v>1</v>
      </c>
      <c r="G180" s="14">
        <v>92589399</v>
      </c>
      <c r="H180" s="14">
        <v>3</v>
      </c>
      <c r="I180" s="14">
        <v>1232357097</v>
      </c>
      <c r="J180" s="14">
        <v>2</v>
      </c>
      <c r="K180" s="14">
        <v>845632448.88</v>
      </c>
      <c r="L180" s="14">
        <v>6</v>
      </c>
      <c r="M180" s="14">
        <v>4089900539</v>
      </c>
      <c r="N180" s="14">
        <v>16</v>
      </c>
      <c r="O180" s="15">
        <v>8327445520.8800001</v>
      </c>
    </row>
    <row r="181" spans="1:15" x14ac:dyDescent="0.3">
      <c r="A181" s="12" t="s">
        <v>49</v>
      </c>
      <c r="B181" s="13">
        <v>6</v>
      </c>
      <c r="C181" s="13">
        <v>735339228</v>
      </c>
      <c r="D181" s="14">
        <v>6</v>
      </c>
      <c r="E181" s="14">
        <v>842409605</v>
      </c>
      <c r="F181" s="14">
        <v>12</v>
      </c>
      <c r="G181" s="14">
        <v>1395585238</v>
      </c>
      <c r="H181" s="14">
        <v>1</v>
      </c>
      <c r="I181" s="14">
        <v>141287370</v>
      </c>
      <c r="J181" s="14">
        <v>1</v>
      </c>
      <c r="K181" s="14">
        <v>51828130</v>
      </c>
      <c r="L181" s="14">
        <v>7</v>
      </c>
      <c r="M181" s="14">
        <v>818610215</v>
      </c>
      <c r="N181" s="14">
        <v>33</v>
      </c>
      <c r="O181" s="15">
        <v>3985059786</v>
      </c>
    </row>
    <row r="182" spans="1:15" x14ac:dyDescent="0.3">
      <c r="A182" s="12" t="s">
        <v>50</v>
      </c>
      <c r="B182" s="13">
        <v>6</v>
      </c>
      <c r="C182" s="13">
        <v>662969514</v>
      </c>
      <c r="D182" s="14">
        <v>7</v>
      </c>
      <c r="E182" s="14">
        <v>734358817</v>
      </c>
      <c r="F182" s="14">
        <v>5</v>
      </c>
      <c r="G182" s="14">
        <v>270570443</v>
      </c>
      <c r="H182" s="14">
        <v>4</v>
      </c>
      <c r="I182" s="14">
        <v>148425433</v>
      </c>
      <c r="J182" s="14">
        <v>3</v>
      </c>
      <c r="K182" s="14">
        <v>8418069</v>
      </c>
      <c r="L182" s="14">
        <v>17</v>
      </c>
      <c r="M182" s="14">
        <v>2045975704</v>
      </c>
      <c r="N182" s="14">
        <v>42</v>
      </c>
      <c r="O182" s="15">
        <v>3870717980</v>
      </c>
    </row>
    <row r="183" spans="1:15" x14ac:dyDescent="0.3">
      <c r="A183" s="12" t="s">
        <v>51</v>
      </c>
      <c r="B183" s="13">
        <v>26</v>
      </c>
      <c r="C183" s="13">
        <v>3999232715</v>
      </c>
      <c r="D183" s="14">
        <v>30</v>
      </c>
      <c r="E183" s="14">
        <v>3868760166.0599999</v>
      </c>
      <c r="F183" s="14">
        <v>33</v>
      </c>
      <c r="G183" s="14">
        <v>3044112209.98</v>
      </c>
      <c r="H183" s="14">
        <v>37</v>
      </c>
      <c r="I183" s="14">
        <v>4359932309.7299995</v>
      </c>
      <c r="J183" s="14">
        <v>12</v>
      </c>
      <c r="K183" s="14">
        <v>1286839922</v>
      </c>
      <c r="L183" s="14">
        <v>56</v>
      </c>
      <c r="M183" s="14">
        <v>5533062262</v>
      </c>
      <c r="N183" s="14">
        <v>194</v>
      </c>
      <c r="O183" s="15">
        <v>22091939584.77</v>
      </c>
    </row>
    <row r="184" spans="1:15" x14ac:dyDescent="0.3">
      <c r="A184" s="8" t="s">
        <v>52</v>
      </c>
      <c r="B184" s="9">
        <v>61</v>
      </c>
      <c r="C184" s="9">
        <v>19021499172.349998</v>
      </c>
      <c r="D184" s="10">
        <v>58</v>
      </c>
      <c r="E184" s="10">
        <v>10218981177.5</v>
      </c>
      <c r="F184" s="10">
        <v>82</v>
      </c>
      <c r="G184" s="10">
        <v>21051831715</v>
      </c>
      <c r="H184" s="10">
        <v>46</v>
      </c>
      <c r="I184" s="10">
        <v>7545422765</v>
      </c>
      <c r="J184" s="10">
        <v>18</v>
      </c>
      <c r="K184" s="10">
        <v>2653502042</v>
      </c>
      <c r="L184" s="10">
        <v>80</v>
      </c>
      <c r="M184" s="10">
        <v>16881255654.43</v>
      </c>
      <c r="N184" s="10">
        <v>345</v>
      </c>
      <c r="O184" s="11">
        <v>77372492526.279999</v>
      </c>
    </row>
    <row r="185" spans="1:15" x14ac:dyDescent="0.3">
      <c r="A185" s="12" t="s">
        <v>53</v>
      </c>
      <c r="B185" s="13">
        <v>5</v>
      </c>
      <c r="C185" s="13">
        <v>143237429</v>
      </c>
      <c r="D185" s="14">
        <v>24</v>
      </c>
      <c r="E185" s="14">
        <v>3835782863</v>
      </c>
      <c r="F185" s="14">
        <v>3</v>
      </c>
      <c r="G185" s="14">
        <v>31497100</v>
      </c>
      <c r="H185" s="14">
        <v>7</v>
      </c>
      <c r="I185" s="14">
        <v>1004449560</v>
      </c>
      <c r="J185" s="14"/>
      <c r="K185" s="14"/>
      <c r="L185" s="14">
        <v>7</v>
      </c>
      <c r="M185" s="14">
        <v>843409477</v>
      </c>
      <c r="N185" s="14">
        <v>46</v>
      </c>
      <c r="O185" s="15">
        <v>5858376429</v>
      </c>
    </row>
    <row r="186" spans="1:15" x14ac:dyDescent="0.3">
      <c r="A186" s="12" t="s">
        <v>54</v>
      </c>
      <c r="B186" s="13">
        <v>10</v>
      </c>
      <c r="C186" s="13">
        <v>1116776138</v>
      </c>
      <c r="D186" s="14">
        <v>18</v>
      </c>
      <c r="E186" s="14">
        <v>2151002408</v>
      </c>
      <c r="F186" s="14">
        <v>16</v>
      </c>
      <c r="G186" s="14">
        <v>1913698819</v>
      </c>
      <c r="H186" s="14">
        <v>14</v>
      </c>
      <c r="I186" s="14">
        <v>1767405234</v>
      </c>
      <c r="J186" s="14">
        <v>7</v>
      </c>
      <c r="K186" s="14">
        <v>607400809</v>
      </c>
      <c r="L186" s="14">
        <v>25</v>
      </c>
      <c r="M186" s="14">
        <v>2828607535</v>
      </c>
      <c r="N186" s="14">
        <v>90</v>
      </c>
      <c r="O186" s="15">
        <v>10384890943</v>
      </c>
    </row>
    <row r="187" spans="1:15" x14ac:dyDescent="0.3">
      <c r="A187" s="12" t="s">
        <v>55</v>
      </c>
      <c r="B187" s="13">
        <v>25</v>
      </c>
      <c r="C187" s="13">
        <v>9853583051</v>
      </c>
      <c r="D187" s="14">
        <v>7</v>
      </c>
      <c r="E187" s="14">
        <v>1084212002</v>
      </c>
      <c r="F187" s="14">
        <v>13</v>
      </c>
      <c r="G187" s="14">
        <v>1110703984</v>
      </c>
      <c r="H187" s="14">
        <v>16</v>
      </c>
      <c r="I187" s="14">
        <v>2827703942</v>
      </c>
      <c r="J187" s="14">
        <v>4</v>
      </c>
      <c r="K187" s="14">
        <v>514556349</v>
      </c>
      <c r="L187" s="14">
        <v>26</v>
      </c>
      <c r="M187" s="14">
        <v>5848437790.4300003</v>
      </c>
      <c r="N187" s="14">
        <v>91</v>
      </c>
      <c r="O187" s="15">
        <v>21239197118.43</v>
      </c>
    </row>
    <row r="188" spans="1:15" x14ac:dyDescent="0.3">
      <c r="A188" s="12" t="s">
        <v>56</v>
      </c>
      <c r="B188" s="13">
        <v>20</v>
      </c>
      <c r="C188" s="13">
        <v>7669636836.3500004</v>
      </c>
      <c r="D188" s="14">
        <v>8</v>
      </c>
      <c r="E188" s="14">
        <v>2473875184</v>
      </c>
      <c r="F188" s="14">
        <v>50</v>
      </c>
      <c r="G188" s="14">
        <v>17995931812</v>
      </c>
      <c r="H188" s="14">
        <v>8</v>
      </c>
      <c r="I188" s="14">
        <v>1932249958</v>
      </c>
      <c r="J188" s="14">
        <v>4</v>
      </c>
      <c r="K188" s="14">
        <v>1344537165</v>
      </c>
      <c r="L188" s="14">
        <v>14</v>
      </c>
      <c r="M188" s="14">
        <v>3902666104</v>
      </c>
      <c r="N188" s="14">
        <v>104</v>
      </c>
      <c r="O188" s="15">
        <v>35318897059.349998</v>
      </c>
    </row>
    <row r="189" spans="1:15" x14ac:dyDescent="0.3">
      <c r="A189" s="12" t="s">
        <v>57</v>
      </c>
      <c r="B189" s="13">
        <v>1</v>
      </c>
      <c r="C189" s="13">
        <v>238265718</v>
      </c>
      <c r="D189" s="14">
        <v>1</v>
      </c>
      <c r="E189" s="14">
        <v>674108720.5</v>
      </c>
      <c r="F189" s="14"/>
      <c r="G189" s="14"/>
      <c r="H189" s="14">
        <v>1</v>
      </c>
      <c r="I189" s="14">
        <v>13614071</v>
      </c>
      <c r="J189" s="14">
        <v>3</v>
      </c>
      <c r="K189" s="14">
        <v>187007719</v>
      </c>
      <c r="L189" s="14">
        <v>8</v>
      </c>
      <c r="M189" s="14">
        <v>3458134748</v>
      </c>
      <c r="N189" s="14">
        <v>14</v>
      </c>
      <c r="O189" s="15">
        <v>4571130976.5</v>
      </c>
    </row>
    <row r="190" spans="1:15" x14ac:dyDescent="0.3">
      <c r="A190" s="8" t="s">
        <v>58</v>
      </c>
      <c r="B190" s="9">
        <v>91</v>
      </c>
      <c r="C190" s="9">
        <v>16613178833.940001</v>
      </c>
      <c r="D190" s="10">
        <v>66</v>
      </c>
      <c r="E190" s="10">
        <v>5374824545.3600006</v>
      </c>
      <c r="F190" s="10">
        <v>101</v>
      </c>
      <c r="G190" s="10">
        <v>17306410404.080002</v>
      </c>
      <c r="H190" s="10">
        <v>59</v>
      </c>
      <c r="I190" s="10">
        <v>5604026017</v>
      </c>
      <c r="J190" s="10">
        <v>17</v>
      </c>
      <c r="K190" s="10">
        <v>3700404729</v>
      </c>
      <c r="L190" s="10">
        <v>78</v>
      </c>
      <c r="M190" s="10">
        <v>8021661352</v>
      </c>
      <c r="N190" s="10">
        <v>412</v>
      </c>
      <c r="O190" s="11">
        <v>56620505881.379997</v>
      </c>
    </row>
    <row r="191" spans="1:15" x14ac:dyDescent="0.3">
      <c r="A191" s="12" t="s">
        <v>59</v>
      </c>
      <c r="B191" s="13">
        <v>24</v>
      </c>
      <c r="C191" s="13">
        <v>5748299934</v>
      </c>
      <c r="D191" s="14">
        <v>7</v>
      </c>
      <c r="E191" s="14">
        <v>480479132.63</v>
      </c>
      <c r="F191" s="14">
        <v>26</v>
      </c>
      <c r="G191" s="14">
        <v>5551510607.0799999</v>
      </c>
      <c r="H191" s="14">
        <v>20</v>
      </c>
      <c r="I191" s="14">
        <v>2521767734</v>
      </c>
      <c r="J191" s="14">
        <v>4</v>
      </c>
      <c r="K191" s="14">
        <v>342052053</v>
      </c>
      <c r="L191" s="14">
        <v>9</v>
      </c>
      <c r="M191" s="14">
        <v>795243739</v>
      </c>
      <c r="N191" s="14">
        <v>90</v>
      </c>
      <c r="O191" s="15">
        <v>15439353199.709999</v>
      </c>
    </row>
    <row r="192" spans="1:15" x14ac:dyDescent="0.3">
      <c r="A192" s="12" t="s">
        <v>60</v>
      </c>
      <c r="B192" s="13">
        <v>18</v>
      </c>
      <c r="C192" s="13">
        <v>7265885940</v>
      </c>
      <c r="D192" s="14">
        <v>6</v>
      </c>
      <c r="E192" s="14">
        <v>583999860</v>
      </c>
      <c r="F192" s="14">
        <v>22</v>
      </c>
      <c r="G192" s="14">
        <v>6276470827</v>
      </c>
      <c r="H192" s="14">
        <v>6</v>
      </c>
      <c r="I192" s="14">
        <v>687950876</v>
      </c>
      <c r="J192" s="14">
        <v>7</v>
      </c>
      <c r="K192" s="14">
        <v>3100648261</v>
      </c>
      <c r="L192" s="14">
        <v>25</v>
      </c>
      <c r="M192" s="14">
        <v>3706796398</v>
      </c>
      <c r="N192" s="14">
        <v>84</v>
      </c>
      <c r="O192" s="15">
        <v>21621752162</v>
      </c>
    </row>
    <row r="193" spans="1:15" x14ac:dyDescent="0.3">
      <c r="A193" s="12" t="s">
        <v>61</v>
      </c>
      <c r="B193" s="13">
        <v>21</v>
      </c>
      <c r="C193" s="13">
        <v>1398916784.9400001</v>
      </c>
      <c r="D193" s="14">
        <v>27</v>
      </c>
      <c r="E193" s="14">
        <v>1807381544.73</v>
      </c>
      <c r="F193" s="14">
        <v>23</v>
      </c>
      <c r="G193" s="14">
        <v>2460807594</v>
      </c>
      <c r="H193" s="14">
        <v>19</v>
      </c>
      <c r="I193" s="14">
        <v>1062406778</v>
      </c>
      <c r="J193" s="14">
        <v>3</v>
      </c>
      <c r="K193" s="14">
        <v>55653758</v>
      </c>
      <c r="L193" s="14">
        <v>32</v>
      </c>
      <c r="M193" s="14">
        <v>2673564998</v>
      </c>
      <c r="N193" s="14">
        <v>125</v>
      </c>
      <c r="O193" s="15">
        <v>9458731457.6700001</v>
      </c>
    </row>
    <row r="194" spans="1:15" x14ac:dyDescent="0.3">
      <c r="A194" s="12" t="s">
        <v>62</v>
      </c>
      <c r="B194" s="13">
        <v>25</v>
      </c>
      <c r="C194" s="13">
        <v>1955858533</v>
      </c>
      <c r="D194" s="14">
        <v>25</v>
      </c>
      <c r="E194" s="14">
        <v>2466129974</v>
      </c>
      <c r="F194" s="14">
        <v>29</v>
      </c>
      <c r="G194" s="14">
        <v>2938243575</v>
      </c>
      <c r="H194" s="14">
        <v>8</v>
      </c>
      <c r="I194" s="14">
        <v>980195639</v>
      </c>
      <c r="J194" s="14">
        <v>1</v>
      </c>
      <c r="K194" s="14">
        <v>156850652</v>
      </c>
      <c r="L194" s="14">
        <v>9</v>
      </c>
      <c r="M194" s="14">
        <v>776872216</v>
      </c>
      <c r="N194" s="14">
        <v>97</v>
      </c>
      <c r="O194" s="15">
        <v>9274150589</v>
      </c>
    </row>
    <row r="195" spans="1:15" x14ac:dyDescent="0.3">
      <c r="A195" s="12" t="s">
        <v>63</v>
      </c>
      <c r="B195" s="13">
        <v>3</v>
      </c>
      <c r="C195" s="13">
        <v>244217642</v>
      </c>
      <c r="D195" s="14">
        <v>1</v>
      </c>
      <c r="E195" s="14">
        <v>36834034</v>
      </c>
      <c r="F195" s="14">
        <v>1</v>
      </c>
      <c r="G195" s="14">
        <v>79377801</v>
      </c>
      <c r="H195" s="14">
        <v>6</v>
      </c>
      <c r="I195" s="14">
        <v>351704990</v>
      </c>
      <c r="J195" s="14">
        <v>2</v>
      </c>
      <c r="K195" s="14">
        <v>45200005</v>
      </c>
      <c r="L195" s="14">
        <v>3</v>
      </c>
      <c r="M195" s="14">
        <v>69184001</v>
      </c>
      <c r="N195" s="14">
        <v>16</v>
      </c>
      <c r="O195" s="15">
        <v>826518473</v>
      </c>
    </row>
    <row r="196" spans="1:15" s="23" customFormat="1" x14ac:dyDescent="0.3">
      <c r="A196" s="8" t="s">
        <v>64</v>
      </c>
      <c r="B196" s="9">
        <v>46</v>
      </c>
      <c r="C196" s="9">
        <v>3615324646</v>
      </c>
      <c r="D196" s="10">
        <v>38</v>
      </c>
      <c r="E196" s="10">
        <v>2576172101</v>
      </c>
      <c r="F196" s="10">
        <v>59</v>
      </c>
      <c r="G196" s="10">
        <v>3382455472</v>
      </c>
      <c r="H196" s="10">
        <v>67</v>
      </c>
      <c r="I196" s="10">
        <v>5487933405</v>
      </c>
      <c r="J196" s="10">
        <v>22</v>
      </c>
      <c r="K196" s="10">
        <v>1657124052</v>
      </c>
      <c r="L196" s="10">
        <v>129</v>
      </c>
      <c r="M196" s="10">
        <v>9668763796.6599998</v>
      </c>
      <c r="N196" s="10">
        <v>361</v>
      </c>
      <c r="O196" s="11">
        <v>26387773472.66</v>
      </c>
    </row>
    <row r="197" spans="1:15" x14ac:dyDescent="0.3">
      <c r="A197" s="12" t="s">
        <v>65</v>
      </c>
      <c r="B197" s="13">
        <v>6</v>
      </c>
      <c r="C197" s="13">
        <v>221796045</v>
      </c>
      <c r="D197" s="14">
        <v>15</v>
      </c>
      <c r="E197" s="14">
        <v>691547181</v>
      </c>
      <c r="F197" s="14">
        <v>25</v>
      </c>
      <c r="G197" s="14">
        <v>1241489126</v>
      </c>
      <c r="H197" s="14">
        <v>15</v>
      </c>
      <c r="I197" s="14">
        <v>962180948</v>
      </c>
      <c r="J197" s="14">
        <v>8</v>
      </c>
      <c r="K197" s="14">
        <v>509534749</v>
      </c>
      <c r="L197" s="14">
        <v>30</v>
      </c>
      <c r="M197" s="14">
        <v>1035201113</v>
      </c>
      <c r="N197" s="14">
        <v>99</v>
      </c>
      <c r="O197" s="15">
        <v>4661749162</v>
      </c>
    </row>
    <row r="198" spans="1:15" x14ac:dyDescent="0.3">
      <c r="A198" s="12" t="s">
        <v>66</v>
      </c>
      <c r="B198" s="13">
        <v>20</v>
      </c>
      <c r="C198" s="13">
        <v>1177975195</v>
      </c>
      <c r="D198" s="14">
        <v>9</v>
      </c>
      <c r="E198" s="14">
        <v>492179725</v>
      </c>
      <c r="F198" s="14">
        <v>18</v>
      </c>
      <c r="G198" s="14">
        <v>811011483</v>
      </c>
      <c r="H198" s="14">
        <v>16</v>
      </c>
      <c r="I198" s="14">
        <v>675582779</v>
      </c>
      <c r="J198" s="14">
        <v>5</v>
      </c>
      <c r="K198" s="14">
        <v>246428522</v>
      </c>
      <c r="L198" s="14">
        <v>30</v>
      </c>
      <c r="M198" s="14">
        <v>1615279635</v>
      </c>
      <c r="N198" s="14">
        <v>98</v>
      </c>
      <c r="O198" s="15">
        <v>5018457339</v>
      </c>
    </row>
    <row r="199" spans="1:15" x14ac:dyDescent="0.3">
      <c r="A199" s="12" t="s">
        <v>67</v>
      </c>
      <c r="B199" s="13">
        <v>11</v>
      </c>
      <c r="C199" s="13">
        <v>1409181192</v>
      </c>
      <c r="D199" s="14">
        <v>6</v>
      </c>
      <c r="E199" s="14">
        <v>462776734</v>
      </c>
      <c r="F199" s="14">
        <v>4</v>
      </c>
      <c r="G199" s="14">
        <v>466293642</v>
      </c>
      <c r="H199" s="14">
        <v>13</v>
      </c>
      <c r="I199" s="14">
        <v>946401192</v>
      </c>
      <c r="J199" s="14">
        <v>4</v>
      </c>
      <c r="K199" s="14">
        <v>377712708</v>
      </c>
      <c r="L199" s="14">
        <v>28</v>
      </c>
      <c r="M199" s="14">
        <v>2478877303.48</v>
      </c>
      <c r="N199" s="14">
        <v>66</v>
      </c>
      <c r="O199" s="15">
        <v>6141242771.4799995</v>
      </c>
    </row>
    <row r="200" spans="1:15" x14ac:dyDescent="0.3">
      <c r="A200" s="12" t="s">
        <v>68</v>
      </c>
      <c r="B200" s="13">
        <v>4</v>
      </c>
      <c r="C200" s="13">
        <v>235508901</v>
      </c>
      <c r="D200" s="14">
        <v>4</v>
      </c>
      <c r="E200" s="14">
        <v>705144987</v>
      </c>
      <c r="F200" s="14">
        <v>7</v>
      </c>
      <c r="G200" s="14">
        <v>325596110</v>
      </c>
      <c r="H200" s="14">
        <v>12</v>
      </c>
      <c r="I200" s="14">
        <v>1767043023</v>
      </c>
      <c r="J200" s="14">
        <v>1</v>
      </c>
      <c r="K200" s="14">
        <v>377958686</v>
      </c>
      <c r="L200" s="14">
        <v>3</v>
      </c>
      <c r="M200" s="14">
        <v>260699428</v>
      </c>
      <c r="N200" s="14">
        <v>31</v>
      </c>
      <c r="O200" s="15">
        <v>3671951135</v>
      </c>
    </row>
    <row r="201" spans="1:15" x14ac:dyDescent="0.3">
      <c r="A201" s="12" t="s">
        <v>69</v>
      </c>
      <c r="B201" s="13">
        <v>5</v>
      </c>
      <c r="C201" s="13">
        <v>570863313</v>
      </c>
      <c r="D201" s="14">
        <v>4</v>
      </c>
      <c r="E201" s="14">
        <v>224523474</v>
      </c>
      <c r="F201" s="14">
        <v>5</v>
      </c>
      <c r="G201" s="14">
        <v>538065111</v>
      </c>
      <c r="H201" s="14">
        <v>11</v>
      </c>
      <c r="I201" s="14">
        <v>1136725463</v>
      </c>
      <c r="J201" s="14">
        <v>4</v>
      </c>
      <c r="K201" s="14">
        <v>145489387</v>
      </c>
      <c r="L201" s="14">
        <v>38</v>
      </c>
      <c r="M201" s="14">
        <v>4278706317.1800003</v>
      </c>
      <c r="N201" s="14">
        <v>67</v>
      </c>
      <c r="O201" s="15">
        <v>6894373065.1800003</v>
      </c>
    </row>
    <row r="202" spans="1:15" x14ac:dyDescent="0.3">
      <c r="A202" s="4" t="s">
        <v>70</v>
      </c>
      <c r="B202" s="5">
        <v>299</v>
      </c>
      <c r="C202" s="5">
        <v>25398224438.900002</v>
      </c>
      <c r="D202" s="6">
        <v>183</v>
      </c>
      <c r="E202" s="6">
        <v>10265297076.1</v>
      </c>
      <c r="F202" s="6">
        <v>847</v>
      </c>
      <c r="G202" s="6">
        <v>112164414082.05</v>
      </c>
      <c r="H202" s="6">
        <v>174</v>
      </c>
      <c r="I202" s="6">
        <v>10873204313.9</v>
      </c>
      <c r="J202" s="6">
        <v>54</v>
      </c>
      <c r="K202" s="6">
        <v>3308190728</v>
      </c>
      <c r="L202" s="6">
        <v>401</v>
      </c>
      <c r="M202" s="6">
        <v>89315085203.410004</v>
      </c>
      <c r="N202" s="6">
        <v>1958</v>
      </c>
      <c r="O202" s="7">
        <v>251324415842.35999</v>
      </c>
    </row>
    <row r="203" spans="1:15" x14ac:dyDescent="0.3">
      <c r="A203" s="8" t="s">
        <v>71</v>
      </c>
      <c r="B203" s="9">
        <v>30</v>
      </c>
      <c r="C203" s="9">
        <v>2276055013.8600001</v>
      </c>
      <c r="D203" s="10">
        <v>47</v>
      </c>
      <c r="E203" s="10">
        <v>2810083449</v>
      </c>
      <c r="F203" s="10">
        <v>147</v>
      </c>
      <c r="G203" s="10">
        <v>20162393253.98</v>
      </c>
      <c r="H203" s="10">
        <v>50</v>
      </c>
      <c r="I203" s="10">
        <v>2684750265</v>
      </c>
      <c r="J203" s="10">
        <v>13</v>
      </c>
      <c r="K203" s="10">
        <v>944413290</v>
      </c>
      <c r="L203" s="10">
        <v>50</v>
      </c>
      <c r="M203" s="10">
        <v>2691858529</v>
      </c>
      <c r="N203" s="10">
        <v>337</v>
      </c>
      <c r="O203" s="11">
        <v>31569553800.84</v>
      </c>
    </row>
    <row r="204" spans="1:15" x14ac:dyDescent="0.3">
      <c r="A204" s="12" t="s">
        <v>72</v>
      </c>
      <c r="B204" s="13">
        <v>9</v>
      </c>
      <c r="C204" s="13">
        <v>586987222</v>
      </c>
      <c r="D204" s="14">
        <v>11</v>
      </c>
      <c r="E204" s="14">
        <v>1360501488</v>
      </c>
      <c r="F204" s="14">
        <v>24</v>
      </c>
      <c r="G204" s="14">
        <v>5420557912</v>
      </c>
      <c r="H204" s="14">
        <v>16</v>
      </c>
      <c r="I204" s="14">
        <v>1701452758</v>
      </c>
      <c r="J204" s="14">
        <v>4</v>
      </c>
      <c r="K204" s="14">
        <v>70207620</v>
      </c>
      <c r="L204" s="14">
        <v>12</v>
      </c>
      <c r="M204" s="14">
        <v>313278909</v>
      </c>
      <c r="N204" s="14">
        <v>76</v>
      </c>
      <c r="O204" s="15">
        <v>9452985909</v>
      </c>
    </row>
    <row r="205" spans="1:15" x14ac:dyDescent="0.3">
      <c r="A205" s="12" t="s">
        <v>73</v>
      </c>
      <c r="B205" s="13">
        <v>12</v>
      </c>
      <c r="C205" s="13">
        <v>897006630</v>
      </c>
      <c r="D205" s="14">
        <v>18</v>
      </c>
      <c r="E205" s="14">
        <v>431139549</v>
      </c>
      <c r="F205" s="14">
        <v>55</v>
      </c>
      <c r="G205" s="14">
        <v>5068887270</v>
      </c>
      <c r="H205" s="14">
        <v>23</v>
      </c>
      <c r="I205" s="14">
        <v>447268870</v>
      </c>
      <c r="J205" s="14">
        <v>3</v>
      </c>
      <c r="K205" s="14">
        <v>61902847</v>
      </c>
      <c r="L205" s="14">
        <v>16</v>
      </c>
      <c r="M205" s="14">
        <v>312693334</v>
      </c>
      <c r="N205" s="14">
        <v>127</v>
      </c>
      <c r="O205" s="15">
        <v>7218898500</v>
      </c>
    </row>
    <row r="206" spans="1:15" x14ac:dyDescent="0.3">
      <c r="A206" s="12" t="s">
        <v>74</v>
      </c>
      <c r="B206" s="13">
        <v>9</v>
      </c>
      <c r="C206" s="13">
        <v>792061161.86000001</v>
      </c>
      <c r="D206" s="14">
        <v>18</v>
      </c>
      <c r="E206" s="14">
        <v>1018442412</v>
      </c>
      <c r="F206" s="14">
        <v>68</v>
      </c>
      <c r="G206" s="14">
        <v>9672948071.9799995</v>
      </c>
      <c r="H206" s="14">
        <v>11</v>
      </c>
      <c r="I206" s="14">
        <v>536028637</v>
      </c>
      <c r="J206" s="14">
        <v>6</v>
      </c>
      <c r="K206" s="14">
        <v>812302823</v>
      </c>
      <c r="L206" s="14">
        <v>22</v>
      </c>
      <c r="M206" s="14">
        <v>2065886286</v>
      </c>
      <c r="N206" s="14">
        <v>134</v>
      </c>
      <c r="O206" s="15">
        <v>14897669391.84</v>
      </c>
    </row>
    <row r="207" spans="1:15" x14ac:dyDescent="0.3">
      <c r="A207" s="8" t="s">
        <v>75</v>
      </c>
      <c r="B207" s="9">
        <v>20</v>
      </c>
      <c r="C207" s="9">
        <v>386969278</v>
      </c>
      <c r="D207" s="10">
        <v>30</v>
      </c>
      <c r="E207" s="10">
        <v>456496350</v>
      </c>
      <c r="F207" s="10">
        <v>68</v>
      </c>
      <c r="G207" s="10">
        <v>2770502211.3900003</v>
      </c>
      <c r="H207" s="10">
        <v>41</v>
      </c>
      <c r="I207" s="10">
        <v>1074886872</v>
      </c>
      <c r="J207" s="10">
        <v>9</v>
      </c>
      <c r="K207" s="10">
        <v>257133795</v>
      </c>
      <c r="L207" s="10">
        <v>60</v>
      </c>
      <c r="M207" s="10">
        <v>5801864213</v>
      </c>
      <c r="N207" s="10">
        <v>228</v>
      </c>
      <c r="O207" s="11">
        <v>10747852719.389999</v>
      </c>
    </row>
    <row r="208" spans="1:15" x14ac:dyDescent="0.3">
      <c r="A208" s="12" t="s">
        <v>76</v>
      </c>
      <c r="B208" s="13">
        <v>17</v>
      </c>
      <c r="C208" s="13">
        <v>208043523</v>
      </c>
      <c r="D208" s="14">
        <v>24</v>
      </c>
      <c r="E208" s="14">
        <v>426941753</v>
      </c>
      <c r="F208" s="14">
        <v>46</v>
      </c>
      <c r="G208" s="14">
        <v>1432943953</v>
      </c>
      <c r="H208" s="14">
        <v>29</v>
      </c>
      <c r="I208" s="14">
        <v>610700382</v>
      </c>
      <c r="J208" s="14">
        <v>7</v>
      </c>
      <c r="K208" s="14">
        <v>229884465</v>
      </c>
      <c r="L208" s="14">
        <v>51</v>
      </c>
      <c r="M208" s="14">
        <v>5455409629</v>
      </c>
      <c r="N208" s="14">
        <v>174</v>
      </c>
      <c r="O208" s="15">
        <v>8363923705</v>
      </c>
    </row>
    <row r="209" spans="1:15" x14ac:dyDescent="0.3">
      <c r="A209" s="12" t="s">
        <v>77</v>
      </c>
      <c r="B209" s="13">
        <v>3</v>
      </c>
      <c r="C209" s="13">
        <v>178925755</v>
      </c>
      <c r="D209" s="14">
        <v>6</v>
      </c>
      <c r="E209" s="14">
        <v>29554597</v>
      </c>
      <c r="F209" s="14">
        <v>22</v>
      </c>
      <c r="G209" s="14">
        <v>1337558258.3899999</v>
      </c>
      <c r="H209" s="14">
        <v>12</v>
      </c>
      <c r="I209" s="14">
        <v>464186490</v>
      </c>
      <c r="J209" s="14">
        <v>2</v>
      </c>
      <c r="K209" s="14">
        <v>27249330</v>
      </c>
      <c r="L209" s="14">
        <v>9</v>
      </c>
      <c r="M209" s="14">
        <v>346454584</v>
      </c>
      <c r="N209" s="14">
        <v>54</v>
      </c>
      <c r="O209" s="15">
        <v>2383929014.3899999</v>
      </c>
    </row>
    <row r="210" spans="1:15" x14ac:dyDescent="0.3">
      <c r="A210" s="8" t="s">
        <v>78</v>
      </c>
      <c r="B210" s="9">
        <v>184</v>
      </c>
      <c r="C210" s="9">
        <v>18490825195</v>
      </c>
      <c r="D210" s="10">
        <v>57</v>
      </c>
      <c r="E210" s="10">
        <v>5344725894.1000004</v>
      </c>
      <c r="F210" s="10">
        <v>189</v>
      </c>
      <c r="G210" s="10">
        <v>36912970529.669998</v>
      </c>
      <c r="H210" s="10">
        <v>37</v>
      </c>
      <c r="I210" s="10">
        <v>3100360954</v>
      </c>
      <c r="J210" s="10">
        <v>15</v>
      </c>
      <c r="K210" s="10">
        <v>1727917461</v>
      </c>
      <c r="L210" s="10">
        <v>211</v>
      </c>
      <c r="M210" s="10">
        <v>77913656082</v>
      </c>
      <c r="N210" s="10">
        <v>693</v>
      </c>
      <c r="O210" s="11">
        <v>143490456115.77002</v>
      </c>
    </row>
    <row r="211" spans="1:15" x14ac:dyDescent="0.3">
      <c r="A211" s="12" t="s">
        <v>79</v>
      </c>
      <c r="B211" s="13">
        <v>93</v>
      </c>
      <c r="C211" s="13">
        <v>11542300512</v>
      </c>
      <c r="D211" s="14">
        <v>24</v>
      </c>
      <c r="E211" s="14">
        <v>2945503965.0999999</v>
      </c>
      <c r="F211" s="14">
        <v>120</v>
      </c>
      <c r="G211" s="14">
        <v>30586526879</v>
      </c>
      <c r="H211" s="14">
        <v>8</v>
      </c>
      <c r="I211" s="14">
        <v>1637907311</v>
      </c>
      <c r="J211" s="14">
        <v>8</v>
      </c>
      <c r="K211" s="14">
        <v>1516190102</v>
      </c>
      <c r="L211" s="14">
        <v>85</v>
      </c>
      <c r="M211" s="14">
        <v>39724517906</v>
      </c>
      <c r="N211" s="14">
        <v>338</v>
      </c>
      <c r="O211" s="15">
        <v>87952946675.100006</v>
      </c>
    </row>
    <row r="212" spans="1:15" x14ac:dyDescent="0.3">
      <c r="A212" s="12" t="s">
        <v>80</v>
      </c>
      <c r="B212" s="13">
        <v>91</v>
      </c>
      <c r="C212" s="13">
        <v>6948524683</v>
      </c>
      <c r="D212" s="14">
        <v>33</v>
      </c>
      <c r="E212" s="14">
        <v>2399221929</v>
      </c>
      <c r="F212" s="14">
        <v>69</v>
      </c>
      <c r="G212" s="14">
        <v>6326443650.6700001</v>
      </c>
      <c r="H212" s="14">
        <v>29</v>
      </c>
      <c r="I212" s="14">
        <v>1462453643</v>
      </c>
      <c r="J212" s="14">
        <v>7</v>
      </c>
      <c r="K212" s="14">
        <v>211727359</v>
      </c>
      <c r="L212" s="14">
        <v>126</v>
      </c>
      <c r="M212" s="14">
        <v>38189138176</v>
      </c>
      <c r="N212" s="14">
        <v>355</v>
      </c>
      <c r="O212" s="15">
        <v>55537509440.669998</v>
      </c>
    </row>
    <row r="213" spans="1:15" x14ac:dyDescent="0.3">
      <c r="A213" s="8" t="s">
        <v>81</v>
      </c>
      <c r="B213" s="9">
        <v>65</v>
      </c>
      <c r="C213" s="9">
        <v>4244374952.04</v>
      </c>
      <c r="D213" s="10">
        <v>49</v>
      </c>
      <c r="E213" s="10">
        <v>1653991383</v>
      </c>
      <c r="F213" s="10">
        <v>443</v>
      </c>
      <c r="G213" s="10">
        <v>52318548087.009995</v>
      </c>
      <c r="H213" s="10">
        <v>46</v>
      </c>
      <c r="I213" s="10">
        <v>4013206222.9000001</v>
      </c>
      <c r="J213" s="10">
        <v>17</v>
      </c>
      <c r="K213" s="10">
        <v>378726182</v>
      </c>
      <c r="L213" s="10">
        <v>80</v>
      </c>
      <c r="M213" s="10">
        <v>2907706379.4099998</v>
      </c>
      <c r="N213" s="10">
        <v>700</v>
      </c>
      <c r="O213" s="11">
        <v>65516553206.360001</v>
      </c>
    </row>
    <row r="214" spans="1:15" x14ac:dyDescent="0.3">
      <c r="A214" s="12" t="s">
        <v>82</v>
      </c>
      <c r="B214" s="13">
        <v>35</v>
      </c>
      <c r="C214" s="13">
        <v>3200641598</v>
      </c>
      <c r="D214" s="14">
        <v>21</v>
      </c>
      <c r="E214" s="14">
        <v>738115804</v>
      </c>
      <c r="F214" s="14">
        <v>135</v>
      </c>
      <c r="G214" s="14">
        <v>17456934349.009998</v>
      </c>
      <c r="H214" s="14">
        <v>14</v>
      </c>
      <c r="I214" s="14">
        <v>1220071165</v>
      </c>
      <c r="J214" s="14">
        <v>9</v>
      </c>
      <c r="K214" s="14">
        <v>233613162</v>
      </c>
      <c r="L214" s="14">
        <v>34</v>
      </c>
      <c r="M214" s="14">
        <v>1267273393.4099998</v>
      </c>
      <c r="N214" s="14">
        <v>248</v>
      </c>
      <c r="O214" s="15">
        <v>24116649471.419998</v>
      </c>
    </row>
    <row r="215" spans="1:15" x14ac:dyDescent="0.3">
      <c r="A215" s="12" t="s">
        <v>83</v>
      </c>
      <c r="B215" s="13">
        <v>12</v>
      </c>
      <c r="C215" s="13">
        <v>434599558</v>
      </c>
      <c r="D215" s="14">
        <v>12</v>
      </c>
      <c r="E215" s="14">
        <v>389542421</v>
      </c>
      <c r="F215" s="14">
        <v>197</v>
      </c>
      <c r="G215" s="14">
        <v>21828889161</v>
      </c>
      <c r="H215" s="14">
        <v>13</v>
      </c>
      <c r="I215" s="14">
        <v>1109566634.9000001</v>
      </c>
      <c r="J215" s="14">
        <v>2</v>
      </c>
      <c r="K215" s="14">
        <v>34408619</v>
      </c>
      <c r="L215" s="14">
        <v>22</v>
      </c>
      <c r="M215" s="14">
        <v>691101255</v>
      </c>
      <c r="N215" s="14">
        <v>258</v>
      </c>
      <c r="O215" s="15">
        <v>24488107648.900002</v>
      </c>
    </row>
    <row r="216" spans="1:15" x14ac:dyDescent="0.3">
      <c r="A216" s="12" t="s">
        <v>84</v>
      </c>
      <c r="B216" s="13">
        <v>18</v>
      </c>
      <c r="C216" s="13">
        <v>609133796.03999996</v>
      </c>
      <c r="D216" s="14">
        <v>16</v>
      </c>
      <c r="E216" s="14">
        <v>526333158</v>
      </c>
      <c r="F216" s="14">
        <v>111</v>
      </c>
      <c r="G216" s="14">
        <v>13032724577</v>
      </c>
      <c r="H216" s="14">
        <v>19</v>
      </c>
      <c r="I216" s="14">
        <v>1683568423</v>
      </c>
      <c r="J216" s="14">
        <v>6</v>
      </c>
      <c r="K216" s="14">
        <v>110704401</v>
      </c>
      <c r="L216" s="14">
        <v>24</v>
      </c>
      <c r="M216" s="14">
        <v>949331731</v>
      </c>
      <c r="N216" s="14">
        <v>194</v>
      </c>
      <c r="O216" s="15">
        <v>16911796086.040001</v>
      </c>
    </row>
    <row r="217" spans="1:15" x14ac:dyDescent="0.3">
      <c r="A217" s="4" t="s">
        <v>85</v>
      </c>
      <c r="B217" s="5">
        <v>144</v>
      </c>
      <c r="C217" s="5">
        <v>14027221986.209999</v>
      </c>
      <c r="D217" s="6">
        <v>135</v>
      </c>
      <c r="E217" s="6">
        <v>13604948840</v>
      </c>
      <c r="F217" s="6">
        <v>563</v>
      </c>
      <c r="G217" s="6">
        <v>85923601018.410004</v>
      </c>
      <c r="H217" s="6">
        <v>102</v>
      </c>
      <c r="I217" s="6">
        <v>10274348218.99</v>
      </c>
      <c r="J217" s="6">
        <v>23</v>
      </c>
      <c r="K217" s="6">
        <v>1900208555</v>
      </c>
      <c r="L217" s="6">
        <v>125</v>
      </c>
      <c r="M217" s="6">
        <v>11029056516.02</v>
      </c>
      <c r="N217" s="6">
        <v>1092</v>
      </c>
      <c r="O217" s="7">
        <v>136759385134.63</v>
      </c>
    </row>
    <row r="218" spans="1:15" x14ac:dyDescent="0.3">
      <c r="A218" s="8" t="s">
        <v>86</v>
      </c>
      <c r="B218" s="9">
        <v>91</v>
      </c>
      <c r="C218" s="9">
        <v>10519383559.939999</v>
      </c>
      <c r="D218" s="10">
        <v>73</v>
      </c>
      <c r="E218" s="10">
        <v>7096213700</v>
      </c>
      <c r="F218" s="10">
        <v>278</v>
      </c>
      <c r="G218" s="10">
        <v>53300778974.410004</v>
      </c>
      <c r="H218" s="10">
        <v>72</v>
      </c>
      <c r="I218" s="10">
        <v>7967702198.9899998</v>
      </c>
      <c r="J218" s="10">
        <v>14</v>
      </c>
      <c r="K218" s="10">
        <v>1467380631</v>
      </c>
      <c r="L218" s="10">
        <v>81</v>
      </c>
      <c r="M218" s="10">
        <v>8273025626.0200005</v>
      </c>
      <c r="N218" s="10">
        <v>609</v>
      </c>
      <c r="O218" s="11">
        <v>88624484690.360001</v>
      </c>
    </row>
    <row r="219" spans="1:15" x14ac:dyDescent="0.3">
      <c r="A219" s="12" t="s">
        <v>87</v>
      </c>
      <c r="B219" s="13">
        <v>28</v>
      </c>
      <c r="C219" s="13">
        <v>4064813220</v>
      </c>
      <c r="D219" s="14">
        <v>15</v>
      </c>
      <c r="E219" s="14">
        <v>3255205158</v>
      </c>
      <c r="F219" s="14">
        <v>75</v>
      </c>
      <c r="G219" s="14">
        <v>25937725517.450001</v>
      </c>
      <c r="H219" s="14">
        <v>6</v>
      </c>
      <c r="I219" s="14">
        <v>378672766</v>
      </c>
      <c r="J219" s="14">
        <v>3</v>
      </c>
      <c r="K219" s="14">
        <v>512301783</v>
      </c>
      <c r="L219" s="14">
        <v>24</v>
      </c>
      <c r="M219" s="14">
        <v>3985775183</v>
      </c>
      <c r="N219" s="14">
        <v>151</v>
      </c>
      <c r="O219" s="15">
        <v>38134493627.449997</v>
      </c>
    </row>
    <row r="220" spans="1:15" x14ac:dyDescent="0.3">
      <c r="A220" s="12" t="s">
        <v>88</v>
      </c>
      <c r="B220" s="13">
        <v>26</v>
      </c>
      <c r="C220" s="13">
        <v>3438424134.8000002</v>
      </c>
      <c r="D220" s="14">
        <v>17</v>
      </c>
      <c r="E220" s="14">
        <v>1110127384</v>
      </c>
      <c r="F220" s="14">
        <v>64</v>
      </c>
      <c r="G220" s="14">
        <v>15826928623.23</v>
      </c>
      <c r="H220" s="14">
        <v>51</v>
      </c>
      <c r="I220" s="14">
        <v>6766616796.9899998</v>
      </c>
      <c r="J220" s="14">
        <v>6</v>
      </c>
      <c r="K220" s="14">
        <v>553251203</v>
      </c>
      <c r="L220" s="14">
        <v>24</v>
      </c>
      <c r="M220" s="14">
        <v>2446370236.02</v>
      </c>
      <c r="N220" s="14">
        <v>188</v>
      </c>
      <c r="O220" s="15">
        <v>30141718378.040001</v>
      </c>
    </row>
    <row r="221" spans="1:15" x14ac:dyDescent="0.3">
      <c r="A221" s="12" t="s">
        <v>89</v>
      </c>
      <c r="B221" s="13">
        <v>17</v>
      </c>
      <c r="C221" s="13">
        <v>1512943648</v>
      </c>
      <c r="D221" s="14">
        <v>20</v>
      </c>
      <c r="E221" s="14">
        <v>1641787540</v>
      </c>
      <c r="F221" s="14">
        <v>101</v>
      </c>
      <c r="G221" s="14">
        <v>9111314531.7299995</v>
      </c>
      <c r="H221" s="14">
        <v>9</v>
      </c>
      <c r="I221" s="14">
        <v>650909311</v>
      </c>
      <c r="J221" s="14">
        <v>1</v>
      </c>
      <c r="K221" s="14">
        <v>224614169</v>
      </c>
      <c r="L221" s="14">
        <v>8</v>
      </c>
      <c r="M221" s="14">
        <v>520926272</v>
      </c>
      <c r="N221" s="14">
        <v>156</v>
      </c>
      <c r="O221" s="15">
        <v>13662495471.73</v>
      </c>
    </row>
    <row r="222" spans="1:15" x14ac:dyDescent="0.3">
      <c r="A222" s="12" t="s">
        <v>90</v>
      </c>
      <c r="B222" s="13">
        <v>20</v>
      </c>
      <c r="C222" s="13">
        <v>1503202557.1399999</v>
      </c>
      <c r="D222" s="14">
        <v>21</v>
      </c>
      <c r="E222" s="14">
        <v>1089093618</v>
      </c>
      <c r="F222" s="14">
        <v>38</v>
      </c>
      <c r="G222" s="14">
        <v>2424810302</v>
      </c>
      <c r="H222" s="14">
        <v>6</v>
      </c>
      <c r="I222" s="14">
        <v>171503325</v>
      </c>
      <c r="J222" s="14">
        <v>4</v>
      </c>
      <c r="K222" s="14">
        <v>177213476</v>
      </c>
      <c r="L222" s="14">
        <v>25</v>
      </c>
      <c r="M222" s="14">
        <v>1319953935</v>
      </c>
      <c r="N222" s="14">
        <v>114</v>
      </c>
      <c r="O222" s="15">
        <v>6685777213.1399994</v>
      </c>
    </row>
    <row r="223" spans="1:15" x14ac:dyDescent="0.3">
      <c r="A223" s="8" t="s">
        <v>91</v>
      </c>
      <c r="B223" s="9">
        <v>53</v>
      </c>
      <c r="C223" s="9">
        <v>3507838426.27</v>
      </c>
      <c r="D223" s="10">
        <v>62</v>
      </c>
      <c r="E223" s="10">
        <v>6508735140</v>
      </c>
      <c r="F223" s="10">
        <v>285</v>
      </c>
      <c r="G223" s="10">
        <v>32622822044</v>
      </c>
      <c r="H223" s="10">
        <v>30</v>
      </c>
      <c r="I223" s="10">
        <v>2306646020</v>
      </c>
      <c r="J223" s="10">
        <v>9</v>
      </c>
      <c r="K223" s="10">
        <v>432827924</v>
      </c>
      <c r="L223" s="10">
        <v>44</v>
      </c>
      <c r="M223" s="10">
        <v>2756030890</v>
      </c>
      <c r="N223" s="10">
        <v>483</v>
      </c>
      <c r="O223" s="11">
        <v>48134900444.270004</v>
      </c>
    </row>
    <row r="224" spans="1:15" x14ac:dyDescent="0.3">
      <c r="A224" s="12" t="s">
        <v>92</v>
      </c>
      <c r="B224" s="13">
        <v>12</v>
      </c>
      <c r="C224" s="13">
        <v>1215442157</v>
      </c>
      <c r="D224" s="14">
        <v>12</v>
      </c>
      <c r="E224" s="14">
        <v>1792957647</v>
      </c>
      <c r="F224" s="14">
        <v>25</v>
      </c>
      <c r="G224" s="14">
        <v>3256907671</v>
      </c>
      <c r="H224" s="14">
        <v>8</v>
      </c>
      <c r="I224" s="14">
        <v>642316751</v>
      </c>
      <c r="J224" s="14">
        <v>2</v>
      </c>
      <c r="K224" s="14">
        <v>48418925</v>
      </c>
      <c r="L224" s="14">
        <v>4</v>
      </c>
      <c r="M224" s="14">
        <v>143628103</v>
      </c>
      <c r="N224" s="14">
        <v>63</v>
      </c>
      <c r="O224" s="15">
        <v>7099671254</v>
      </c>
    </row>
    <row r="225" spans="1:15" x14ac:dyDescent="0.3">
      <c r="A225" s="12" t="s">
        <v>93</v>
      </c>
      <c r="B225" s="13">
        <v>8</v>
      </c>
      <c r="C225" s="13">
        <v>532530624</v>
      </c>
      <c r="D225" s="14">
        <v>26</v>
      </c>
      <c r="E225" s="14">
        <v>2516001717</v>
      </c>
      <c r="F225" s="14">
        <v>186</v>
      </c>
      <c r="G225" s="14">
        <v>22353180756</v>
      </c>
      <c r="H225" s="14">
        <v>1</v>
      </c>
      <c r="I225" s="14">
        <v>123831973</v>
      </c>
      <c r="J225" s="14">
        <v>1</v>
      </c>
      <c r="K225" s="14">
        <v>8705161</v>
      </c>
      <c r="L225" s="14">
        <v>3</v>
      </c>
      <c r="M225" s="14">
        <v>119145939</v>
      </c>
      <c r="N225" s="14">
        <v>225</v>
      </c>
      <c r="O225" s="15">
        <v>25653396170</v>
      </c>
    </row>
    <row r="226" spans="1:15" x14ac:dyDescent="0.3">
      <c r="A226" s="12" t="s">
        <v>94</v>
      </c>
      <c r="B226" s="13">
        <v>2</v>
      </c>
      <c r="C226" s="13">
        <v>78051922</v>
      </c>
      <c r="D226" s="14">
        <v>5</v>
      </c>
      <c r="E226" s="14">
        <v>926803291</v>
      </c>
      <c r="F226" s="14">
        <v>9</v>
      </c>
      <c r="G226" s="14">
        <v>1271001723</v>
      </c>
      <c r="H226" s="14">
        <v>9</v>
      </c>
      <c r="I226" s="14">
        <v>1233492624</v>
      </c>
      <c r="J226" s="14"/>
      <c r="K226" s="14"/>
      <c r="L226" s="14">
        <v>2</v>
      </c>
      <c r="M226" s="14">
        <v>433889814</v>
      </c>
      <c r="N226" s="14">
        <v>27</v>
      </c>
      <c r="O226" s="15">
        <v>3943239374</v>
      </c>
    </row>
    <row r="227" spans="1:15" x14ac:dyDescent="0.3">
      <c r="A227" s="12" t="s">
        <v>95</v>
      </c>
      <c r="B227" s="13">
        <v>31</v>
      </c>
      <c r="C227" s="13">
        <v>1681813723.27</v>
      </c>
      <c r="D227" s="14">
        <v>19</v>
      </c>
      <c r="E227" s="14">
        <v>1272972485</v>
      </c>
      <c r="F227" s="14">
        <v>65</v>
      </c>
      <c r="G227" s="14">
        <v>5741731894</v>
      </c>
      <c r="H227" s="14">
        <v>12</v>
      </c>
      <c r="I227" s="14">
        <v>307004672</v>
      </c>
      <c r="J227" s="14">
        <v>6</v>
      </c>
      <c r="K227" s="14">
        <v>375703838</v>
      </c>
      <c r="L227" s="14">
        <v>35</v>
      </c>
      <c r="M227" s="14">
        <v>2059367034</v>
      </c>
      <c r="N227" s="14">
        <v>168</v>
      </c>
      <c r="O227" s="15">
        <v>11438593646.27</v>
      </c>
    </row>
    <row r="228" spans="1:15" x14ac:dyDescent="0.3">
      <c r="A228" s="4" t="s">
        <v>96</v>
      </c>
      <c r="B228" s="5">
        <v>282</v>
      </c>
      <c r="C228" s="5">
        <v>18606351641.580002</v>
      </c>
      <c r="D228" s="6">
        <v>295</v>
      </c>
      <c r="E228" s="6">
        <v>18843999115.369999</v>
      </c>
      <c r="F228" s="6">
        <v>372</v>
      </c>
      <c r="G228" s="6">
        <v>27498984450.209999</v>
      </c>
      <c r="H228" s="6">
        <v>288</v>
      </c>
      <c r="I228" s="6">
        <v>19546304430.799999</v>
      </c>
      <c r="J228" s="6">
        <v>93</v>
      </c>
      <c r="K228" s="6">
        <v>5705334569</v>
      </c>
      <c r="L228" s="6">
        <v>587</v>
      </c>
      <c r="M228" s="6">
        <v>43665497356.860001</v>
      </c>
      <c r="N228" s="6">
        <v>1917</v>
      </c>
      <c r="O228" s="7">
        <v>133866471563.82001</v>
      </c>
    </row>
    <row r="229" spans="1:15" x14ac:dyDescent="0.3">
      <c r="A229" s="8" t="s">
        <v>100</v>
      </c>
      <c r="B229" s="9">
        <v>58</v>
      </c>
      <c r="C229" s="9">
        <v>4032526083.8099999</v>
      </c>
      <c r="D229" s="10">
        <v>55</v>
      </c>
      <c r="E229" s="10">
        <v>4317130419.8199997</v>
      </c>
      <c r="F229" s="10">
        <v>90</v>
      </c>
      <c r="G229" s="10">
        <v>7499316684</v>
      </c>
      <c r="H229" s="10">
        <v>67</v>
      </c>
      <c r="I229" s="10">
        <v>4803345739.8400002</v>
      </c>
      <c r="J229" s="10">
        <v>24</v>
      </c>
      <c r="K229" s="10">
        <v>2163848951</v>
      </c>
      <c r="L229" s="10">
        <v>167</v>
      </c>
      <c r="M229" s="10">
        <v>15024249250.900002</v>
      </c>
      <c r="N229" s="10">
        <v>461</v>
      </c>
      <c r="O229" s="11">
        <v>37840417129.369995</v>
      </c>
    </row>
    <row r="230" spans="1:15" x14ac:dyDescent="0.3">
      <c r="A230" s="12" t="s">
        <v>101</v>
      </c>
      <c r="B230" s="13">
        <v>30</v>
      </c>
      <c r="C230" s="13">
        <v>2133400927</v>
      </c>
      <c r="D230" s="14">
        <v>33</v>
      </c>
      <c r="E230" s="14">
        <v>2840255630.8199997</v>
      </c>
      <c r="F230" s="14">
        <v>49</v>
      </c>
      <c r="G230" s="14">
        <v>4444240911</v>
      </c>
      <c r="H230" s="14">
        <v>33</v>
      </c>
      <c r="I230" s="14">
        <v>2579003330</v>
      </c>
      <c r="J230" s="14">
        <v>9</v>
      </c>
      <c r="K230" s="14">
        <v>1105366773</v>
      </c>
      <c r="L230" s="14">
        <v>95</v>
      </c>
      <c r="M230" s="14">
        <v>8988115900.7400017</v>
      </c>
      <c r="N230" s="14">
        <v>249</v>
      </c>
      <c r="O230" s="15">
        <v>22090383472.559998</v>
      </c>
    </row>
    <row r="231" spans="1:15" x14ac:dyDescent="0.3">
      <c r="A231" s="12" t="s">
        <v>102</v>
      </c>
      <c r="B231" s="13">
        <v>28</v>
      </c>
      <c r="C231" s="13">
        <v>1899125156.8099999</v>
      </c>
      <c r="D231" s="14">
        <v>22</v>
      </c>
      <c r="E231" s="14">
        <v>1476874789</v>
      </c>
      <c r="F231" s="14">
        <v>41</v>
      </c>
      <c r="G231" s="14">
        <v>3055075773</v>
      </c>
      <c r="H231" s="14">
        <v>34</v>
      </c>
      <c r="I231" s="14">
        <v>2224342409.8400002</v>
      </c>
      <c r="J231" s="14">
        <v>15</v>
      </c>
      <c r="K231" s="14">
        <v>1058482178</v>
      </c>
      <c r="L231" s="14">
        <v>72</v>
      </c>
      <c r="M231" s="14">
        <v>6036133350.1599998</v>
      </c>
      <c r="N231" s="14">
        <v>212</v>
      </c>
      <c r="O231" s="15">
        <v>15750033656.809999</v>
      </c>
    </row>
    <row r="232" spans="1:15" x14ac:dyDescent="0.3">
      <c r="A232" s="8" t="s">
        <v>103</v>
      </c>
      <c r="B232" s="9">
        <v>195</v>
      </c>
      <c r="C232" s="9">
        <v>11392439636.379999</v>
      </c>
      <c r="D232" s="10">
        <v>212</v>
      </c>
      <c r="E232" s="10">
        <v>11510109683.82</v>
      </c>
      <c r="F232" s="10">
        <v>251</v>
      </c>
      <c r="G232" s="10">
        <v>15664949091.209999</v>
      </c>
      <c r="H232" s="10">
        <v>187</v>
      </c>
      <c r="I232" s="10">
        <v>10563297583.41</v>
      </c>
      <c r="J232" s="10">
        <v>63</v>
      </c>
      <c r="K232" s="10">
        <v>3078542239</v>
      </c>
      <c r="L232" s="10">
        <v>368</v>
      </c>
      <c r="M232" s="10">
        <v>21067965905.800003</v>
      </c>
      <c r="N232" s="10">
        <v>1276</v>
      </c>
      <c r="O232" s="11">
        <v>73277304139.619995</v>
      </c>
    </row>
    <row r="233" spans="1:15" x14ac:dyDescent="0.3">
      <c r="A233" s="12" t="s">
        <v>104</v>
      </c>
      <c r="B233" s="13">
        <v>54</v>
      </c>
      <c r="C233" s="13">
        <v>2510931582.1800003</v>
      </c>
      <c r="D233" s="14">
        <v>46</v>
      </c>
      <c r="E233" s="14">
        <v>1607982220.27</v>
      </c>
      <c r="F233" s="14">
        <v>60</v>
      </c>
      <c r="G233" s="14">
        <v>2615146350.4099998</v>
      </c>
      <c r="H233" s="14">
        <v>54</v>
      </c>
      <c r="I233" s="14">
        <v>1882026026</v>
      </c>
      <c r="J233" s="14">
        <v>15</v>
      </c>
      <c r="K233" s="14">
        <v>417467457</v>
      </c>
      <c r="L233" s="14">
        <v>93</v>
      </c>
      <c r="M233" s="14">
        <v>3994135153.8099999</v>
      </c>
      <c r="N233" s="14">
        <v>322</v>
      </c>
      <c r="O233" s="15">
        <v>13027688789.670002</v>
      </c>
    </row>
    <row r="234" spans="1:15" x14ac:dyDescent="0.3">
      <c r="A234" s="12" t="s">
        <v>105</v>
      </c>
      <c r="B234" s="13">
        <v>47</v>
      </c>
      <c r="C234" s="13">
        <v>2902837197.5599999</v>
      </c>
      <c r="D234" s="14">
        <v>45</v>
      </c>
      <c r="E234" s="14">
        <v>2561353104.8600001</v>
      </c>
      <c r="F234" s="14">
        <v>55</v>
      </c>
      <c r="G234" s="14">
        <v>2755936918.9200001</v>
      </c>
      <c r="H234" s="14">
        <v>36</v>
      </c>
      <c r="I234" s="14">
        <v>1574402561</v>
      </c>
      <c r="J234" s="14">
        <v>16</v>
      </c>
      <c r="K234" s="14">
        <v>522277093</v>
      </c>
      <c r="L234" s="14">
        <v>74</v>
      </c>
      <c r="M234" s="14">
        <v>3171703507.7399998</v>
      </c>
      <c r="N234" s="14">
        <v>273</v>
      </c>
      <c r="O234" s="15">
        <v>13488510383.08</v>
      </c>
    </row>
    <row r="235" spans="1:15" x14ac:dyDescent="0.3">
      <c r="A235" s="12" t="s">
        <v>106</v>
      </c>
      <c r="B235" s="13">
        <v>42</v>
      </c>
      <c r="C235" s="13">
        <v>2660105037.6700001</v>
      </c>
      <c r="D235" s="14">
        <v>57</v>
      </c>
      <c r="E235" s="14">
        <v>3427268234.6900001</v>
      </c>
      <c r="F235" s="14">
        <v>74</v>
      </c>
      <c r="G235" s="14">
        <v>5866780290.46</v>
      </c>
      <c r="H235" s="14">
        <v>35</v>
      </c>
      <c r="I235" s="14">
        <v>2496942235</v>
      </c>
      <c r="J235" s="14">
        <v>8</v>
      </c>
      <c r="K235" s="14">
        <v>415020386</v>
      </c>
      <c r="L235" s="14">
        <v>56</v>
      </c>
      <c r="M235" s="14">
        <v>4170479093</v>
      </c>
      <c r="N235" s="14">
        <v>272</v>
      </c>
      <c r="O235" s="15">
        <v>19036595276.82</v>
      </c>
    </row>
    <row r="236" spans="1:15" x14ac:dyDescent="0.3">
      <c r="A236" s="12" t="s">
        <v>107</v>
      </c>
      <c r="B236" s="13">
        <v>52</v>
      </c>
      <c r="C236" s="13">
        <v>3318565818.9699998</v>
      </c>
      <c r="D236" s="14">
        <v>64</v>
      </c>
      <c r="E236" s="14">
        <v>3913506124</v>
      </c>
      <c r="F236" s="14">
        <v>62</v>
      </c>
      <c r="G236" s="14">
        <v>4427085531.4200001</v>
      </c>
      <c r="H236" s="14">
        <v>62</v>
      </c>
      <c r="I236" s="14">
        <v>4609926761.4099998</v>
      </c>
      <c r="J236" s="14">
        <v>24</v>
      </c>
      <c r="K236" s="14">
        <v>1723777303</v>
      </c>
      <c r="L236" s="14">
        <v>145</v>
      </c>
      <c r="M236" s="14">
        <v>9731648151.25</v>
      </c>
      <c r="N236" s="14">
        <v>409</v>
      </c>
      <c r="O236" s="15">
        <v>27724509690.049999</v>
      </c>
    </row>
    <row r="237" spans="1:15" x14ac:dyDescent="0.3">
      <c r="A237" s="8" t="s">
        <v>97</v>
      </c>
      <c r="B237" s="9">
        <v>29</v>
      </c>
      <c r="C237" s="9">
        <v>3181385921.3899999</v>
      </c>
      <c r="D237" s="10">
        <v>28</v>
      </c>
      <c r="E237" s="10">
        <v>3016759011.73</v>
      </c>
      <c r="F237" s="10">
        <v>31</v>
      </c>
      <c r="G237" s="10">
        <v>4334718675</v>
      </c>
      <c r="H237" s="10">
        <v>34</v>
      </c>
      <c r="I237" s="10">
        <v>4179661107.5500002</v>
      </c>
      <c r="J237" s="10">
        <v>6</v>
      </c>
      <c r="K237" s="10">
        <v>462943379</v>
      </c>
      <c r="L237" s="10">
        <v>52</v>
      </c>
      <c r="M237" s="10">
        <v>7573282200.1599998</v>
      </c>
      <c r="N237" s="10">
        <v>180</v>
      </c>
      <c r="O237" s="11">
        <v>22748750294.830002</v>
      </c>
    </row>
    <row r="238" spans="1:15" x14ac:dyDescent="0.3">
      <c r="A238" s="12" t="s">
        <v>98</v>
      </c>
      <c r="B238" s="13">
        <v>12</v>
      </c>
      <c r="C238" s="13">
        <v>1388518769.78</v>
      </c>
      <c r="D238" s="14">
        <v>9</v>
      </c>
      <c r="E238" s="14">
        <v>742647890.37</v>
      </c>
      <c r="F238" s="14">
        <v>13</v>
      </c>
      <c r="G238" s="14">
        <v>1569649546</v>
      </c>
      <c r="H238" s="14">
        <v>13</v>
      </c>
      <c r="I238" s="14">
        <v>1617744489.55</v>
      </c>
      <c r="J238" s="14">
        <v>3</v>
      </c>
      <c r="K238" s="14">
        <v>188161244</v>
      </c>
      <c r="L238" s="14">
        <v>16</v>
      </c>
      <c r="M238" s="14">
        <v>2985579404.9000001</v>
      </c>
      <c r="N238" s="14">
        <v>66</v>
      </c>
      <c r="O238" s="15">
        <v>8492301344.6000004</v>
      </c>
    </row>
    <row r="239" spans="1:15" x14ac:dyDescent="0.3">
      <c r="A239" s="12" t="s">
        <v>99</v>
      </c>
      <c r="B239" s="13">
        <v>17</v>
      </c>
      <c r="C239" s="13">
        <v>1792867151.6099999</v>
      </c>
      <c r="D239" s="14">
        <v>19</v>
      </c>
      <c r="E239" s="14">
        <v>2274111121.3600001</v>
      </c>
      <c r="F239" s="14">
        <v>18</v>
      </c>
      <c r="G239" s="14">
        <v>2765069129</v>
      </c>
      <c r="H239" s="14">
        <v>21</v>
      </c>
      <c r="I239" s="14">
        <v>2561916618</v>
      </c>
      <c r="J239" s="14">
        <v>3</v>
      </c>
      <c r="K239" s="14">
        <v>274782135</v>
      </c>
      <c r="L239" s="14">
        <v>36</v>
      </c>
      <c r="M239" s="14">
        <v>4587702795.2600002</v>
      </c>
      <c r="N239" s="14">
        <v>114</v>
      </c>
      <c r="O239" s="15">
        <v>14256448950.23</v>
      </c>
    </row>
    <row r="240" spans="1:15" x14ac:dyDescent="0.3">
      <c r="A240" s="4" t="s">
        <v>108</v>
      </c>
      <c r="B240" s="5">
        <v>300</v>
      </c>
      <c r="C240" s="5">
        <v>22344285742.209999</v>
      </c>
      <c r="D240" s="6">
        <v>348</v>
      </c>
      <c r="E240" s="6">
        <v>25952350453.080002</v>
      </c>
      <c r="F240" s="6">
        <v>444</v>
      </c>
      <c r="G240" s="6">
        <v>31087124634.909996</v>
      </c>
      <c r="H240" s="6">
        <v>293</v>
      </c>
      <c r="I240" s="6">
        <v>17289157586.75</v>
      </c>
      <c r="J240" s="6">
        <v>79</v>
      </c>
      <c r="K240" s="6">
        <v>4536236118.3400002</v>
      </c>
      <c r="L240" s="6">
        <v>338</v>
      </c>
      <c r="M240" s="6">
        <v>21750332188.48</v>
      </c>
      <c r="N240" s="6">
        <v>1802</v>
      </c>
      <c r="O240" s="7">
        <v>122959486723.77</v>
      </c>
    </row>
    <row r="241" spans="1:15" x14ac:dyDescent="0.3">
      <c r="A241" s="8" t="s">
        <v>116</v>
      </c>
      <c r="B241" s="9">
        <v>14</v>
      </c>
      <c r="C241" s="9">
        <v>1305142877</v>
      </c>
      <c r="D241" s="10">
        <v>5</v>
      </c>
      <c r="E241" s="10">
        <v>720265413</v>
      </c>
      <c r="F241" s="10">
        <v>27</v>
      </c>
      <c r="G241" s="10">
        <v>3191609574</v>
      </c>
      <c r="H241" s="10">
        <v>7</v>
      </c>
      <c r="I241" s="10">
        <v>854426541.38</v>
      </c>
      <c r="J241" s="10">
        <v>4</v>
      </c>
      <c r="K241" s="10">
        <v>444398626</v>
      </c>
      <c r="L241" s="10">
        <v>16</v>
      </c>
      <c r="M241" s="10">
        <v>2638652226</v>
      </c>
      <c r="N241" s="10">
        <v>73</v>
      </c>
      <c r="O241" s="11">
        <v>9154495257.3800011</v>
      </c>
    </row>
    <row r="242" spans="1:15" x14ac:dyDescent="0.3">
      <c r="A242" s="12" t="s">
        <v>117</v>
      </c>
      <c r="B242" s="13"/>
      <c r="C242" s="13"/>
      <c r="D242" s="14">
        <v>1</v>
      </c>
      <c r="E242" s="14">
        <v>150137500</v>
      </c>
      <c r="F242" s="14">
        <v>2</v>
      </c>
      <c r="G242" s="14">
        <v>144272932</v>
      </c>
      <c r="H242" s="14"/>
      <c r="I242" s="14"/>
      <c r="J242" s="14">
        <v>3</v>
      </c>
      <c r="K242" s="14">
        <v>438006153</v>
      </c>
      <c r="L242" s="14">
        <v>2</v>
      </c>
      <c r="M242" s="14">
        <v>173185033</v>
      </c>
      <c r="N242" s="14">
        <v>8</v>
      </c>
      <c r="O242" s="15">
        <v>905601618</v>
      </c>
    </row>
    <row r="243" spans="1:15" x14ac:dyDescent="0.3">
      <c r="A243" s="12" t="s">
        <v>118</v>
      </c>
      <c r="B243" s="13">
        <v>14</v>
      </c>
      <c r="C243" s="13">
        <v>1305142877</v>
      </c>
      <c r="D243" s="14">
        <v>4</v>
      </c>
      <c r="E243" s="14">
        <v>570127913</v>
      </c>
      <c r="F243" s="14">
        <v>25</v>
      </c>
      <c r="G243" s="14">
        <v>3047336642</v>
      </c>
      <c r="H243" s="14">
        <v>7</v>
      </c>
      <c r="I243" s="14">
        <v>854426541.38</v>
      </c>
      <c r="J243" s="14">
        <v>1</v>
      </c>
      <c r="K243" s="14">
        <v>6392473</v>
      </c>
      <c r="L243" s="14">
        <v>14</v>
      </c>
      <c r="M243" s="14">
        <v>2465467193</v>
      </c>
      <c r="N243" s="14">
        <v>65</v>
      </c>
      <c r="O243" s="15">
        <v>8248893639.3800001</v>
      </c>
    </row>
    <row r="244" spans="1:15" x14ac:dyDescent="0.3">
      <c r="A244" s="8" t="s">
        <v>109</v>
      </c>
      <c r="B244" s="9">
        <v>115</v>
      </c>
      <c r="C244" s="9">
        <v>9309015610.0400009</v>
      </c>
      <c r="D244" s="10">
        <v>139</v>
      </c>
      <c r="E244" s="10">
        <v>11698129901.93</v>
      </c>
      <c r="F244" s="10">
        <v>190</v>
      </c>
      <c r="G244" s="10">
        <v>15208237437.119999</v>
      </c>
      <c r="H244" s="10">
        <v>110</v>
      </c>
      <c r="I244" s="10">
        <v>8671575385.7999992</v>
      </c>
      <c r="J244" s="10">
        <v>41</v>
      </c>
      <c r="K244" s="10">
        <v>2534212897.3400002</v>
      </c>
      <c r="L244" s="10">
        <v>130</v>
      </c>
      <c r="M244" s="10">
        <v>9411799971.6199989</v>
      </c>
      <c r="N244" s="10">
        <v>725</v>
      </c>
      <c r="O244" s="11">
        <v>56832971203.850006</v>
      </c>
    </row>
    <row r="245" spans="1:15" x14ac:dyDescent="0.3">
      <c r="A245" s="12" t="s">
        <v>110</v>
      </c>
      <c r="B245" s="13">
        <v>15</v>
      </c>
      <c r="C245" s="13">
        <v>938849143</v>
      </c>
      <c r="D245" s="14">
        <v>26</v>
      </c>
      <c r="E245" s="14">
        <v>2398623137.0699997</v>
      </c>
      <c r="F245" s="14">
        <v>46</v>
      </c>
      <c r="G245" s="14">
        <v>3092096375</v>
      </c>
      <c r="H245" s="14">
        <v>18</v>
      </c>
      <c r="I245" s="14">
        <v>1405264806</v>
      </c>
      <c r="J245" s="14">
        <v>7</v>
      </c>
      <c r="K245" s="14">
        <v>353428933.34000003</v>
      </c>
      <c r="L245" s="14">
        <v>15</v>
      </c>
      <c r="M245" s="14">
        <v>702553617</v>
      </c>
      <c r="N245" s="14">
        <v>127</v>
      </c>
      <c r="O245" s="15">
        <v>8890816011.4099998</v>
      </c>
    </row>
    <row r="246" spans="1:15" x14ac:dyDescent="0.3">
      <c r="A246" s="12" t="s">
        <v>111</v>
      </c>
      <c r="B246" s="13">
        <v>19</v>
      </c>
      <c r="C246" s="13">
        <v>2027484949.99</v>
      </c>
      <c r="D246" s="14">
        <v>25</v>
      </c>
      <c r="E246" s="14">
        <v>1853737440</v>
      </c>
      <c r="F246" s="14">
        <v>20</v>
      </c>
      <c r="G246" s="14">
        <v>2451287281</v>
      </c>
      <c r="H246" s="14">
        <v>10</v>
      </c>
      <c r="I246" s="14">
        <v>1401840304</v>
      </c>
      <c r="J246" s="14">
        <v>7</v>
      </c>
      <c r="K246" s="14">
        <v>644435319</v>
      </c>
      <c r="L246" s="14">
        <v>37</v>
      </c>
      <c r="M246" s="14">
        <v>3821566936.6199999</v>
      </c>
      <c r="N246" s="14">
        <v>118</v>
      </c>
      <c r="O246" s="15">
        <v>12200352230.610001</v>
      </c>
    </row>
    <row r="247" spans="1:15" x14ac:dyDescent="0.3">
      <c r="A247" s="12" t="s">
        <v>112</v>
      </c>
      <c r="B247" s="13">
        <v>7</v>
      </c>
      <c r="C247" s="13">
        <v>531497494.44</v>
      </c>
      <c r="D247" s="14">
        <v>10</v>
      </c>
      <c r="E247" s="14">
        <v>661952144</v>
      </c>
      <c r="F247" s="14">
        <v>31</v>
      </c>
      <c r="G247" s="14">
        <v>2513131965</v>
      </c>
      <c r="H247" s="14">
        <v>11</v>
      </c>
      <c r="I247" s="14">
        <v>808540246</v>
      </c>
      <c r="J247" s="14">
        <v>2</v>
      </c>
      <c r="K247" s="14">
        <v>155799075</v>
      </c>
      <c r="L247" s="14">
        <v>16</v>
      </c>
      <c r="M247" s="14">
        <v>1003605601</v>
      </c>
      <c r="N247" s="14">
        <v>77</v>
      </c>
      <c r="O247" s="15">
        <v>5674526525.4400005</v>
      </c>
    </row>
    <row r="248" spans="1:15" x14ac:dyDescent="0.3">
      <c r="A248" s="12" t="s">
        <v>113</v>
      </c>
      <c r="B248" s="13">
        <v>14</v>
      </c>
      <c r="C248" s="13">
        <v>1311662776</v>
      </c>
      <c r="D248" s="14">
        <v>15</v>
      </c>
      <c r="E248" s="14">
        <v>1063321731.86</v>
      </c>
      <c r="F248" s="14">
        <v>27</v>
      </c>
      <c r="G248" s="14">
        <v>1800317196</v>
      </c>
      <c r="H248" s="14">
        <v>18</v>
      </c>
      <c r="I248" s="14">
        <v>1025711727</v>
      </c>
      <c r="J248" s="14">
        <v>4</v>
      </c>
      <c r="K248" s="14">
        <v>278797125</v>
      </c>
      <c r="L248" s="14">
        <v>22</v>
      </c>
      <c r="M248" s="14">
        <v>1581524017</v>
      </c>
      <c r="N248" s="14">
        <v>100</v>
      </c>
      <c r="O248" s="15">
        <v>7061334572.8600006</v>
      </c>
    </row>
    <row r="249" spans="1:15" x14ac:dyDescent="0.3">
      <c r="A249" s="12" t="s">
        <v>114</v>
      </c>
      <c r="B249" s="13">
        <v>36</v>
      </c>
      <c r="C249" s="13">
        <v>2864644855.6100001</v>
      </c>
      <c r="D249" s="14">
        <v>39</v>
      </c>
      <c r="E249" s="14">
        <v>3555985901</v>
      </c>
      <c r="F249" s="14">
        <v>35</v>
      </c>
      <c r="G249" s="14">
        <v>3054179790</v>
      </c>
      <c r="H249" s="14">
        <v>41</v>
      </c>
      <c r="I249" s="14">
        <v>3598546066.8699999</v>
      </c>
      <c r="J249" s="14">
        <v>13</v>
      </c>
      <c r="K249" s="14">
        <v>710786884</v>
      </c>
      <c r="L249" s="14">
        <v>20</v>
      </c>
      <c r="M249" s="14">
        <v>1050035746</v>
      </c>
      <c r="N249" s="14">
        <v>184</v>
      </c>
      <c r="O249" s="15">
        <v>14834179243.480001</v>
      </c>
    </row>
    <row r="250" spans="1:15" x14ac:dyDescent="0.3">
      <c r="A250" s="12" t="s">
        <v>115</v>
      </c>
      <c r="B250" s="13">
        <v>24</v>
      </c>
      <c r="C250" s="13">
        <v>1634876391</v>
      </c>
      <c r="D250" s="14">
        <v>24</v>
      </c>
      <c r="E250" s="14">
        <v>2164509548</v>
      </c>
      <c r="F250" s="14">
        <v>31</v>
      </c>
      <c r="G250" s="14">
        <v>2297224830.1199999</v>
      </c>
      <c r="H250" s="14">
        <v>12</v>
      </c>
      <c r="I250" s="14">
        <v>431672235.93000001</v>
      </c>
      <c r="J250" s="14">
        <v>8</v>
      </c>
      <c r="K250" s="14">
        <v>390965561</v>
      </c>
      <c r="L250" s="14">
        <v>20</v>
      </c>
      <c r="M250" s="14">
        <v>1252514054</v>
      </c>
      <c r="N250" s="14">
        <v>119</v>
      </c>
      <c r="O250" s="15">
        <v>8171762620.0500002</v>
      </c>
    </row>
    <row r="251" spans="1:15" x14ac:dyDescent="0.3">
      <c r="A251" s="8" t="s">
        <v>119</v>
      </c>
      <c r="B251" s="9">
        <v>171</v>
      </c>
      <c r="C251" s="9">
        <v>11730127255.17</v>
      </c>
      <c r="D251" s="10">
        <v>204</v>
      </c>
      <c r="E251" s="10">
        <v>13533955138.149998</v>
      </c>
      <c r="F251" s="10">
        <v>227</v>
      </c>
      <c r="G251" s="10">
        <v>12687277623.790001</v>
      </c>
      <c r="H251" s="10">
        <v>176</v>
      </c>
      <c r="I251" s="10">
        <v>7763155659.5700006</v>
      </c>
      <c r="J251" s="10">
        <v>34</v>
      </c>
      <c r="K251" s="10">
        <v>1557624595</v>
      </c>
      <c r="L251" s="10">
        <v>192</v>
      </c>
      <c r="M251" s="10">
        <v>9699879990.8600006</v>
      </c>
      <c r="N251" s="10">
        <v>1004</v>
      </c>
      <c r="O251" s="11">
        <v>56972020262.540001</v>
      </c>
    </row>
    <row r="252" spans="1:15" x14ac:dyDescent="0.3">
      <c r="A252" s="12" t="s">
        <v>120</v>
      </c>
      <c r="B252" s="13">
        <v>8</v>
      </c>
      <c r="C252" s="13">
        <v>344697183</v>
      </c>
      <c r="D252" s="14">
        <v>20</v>
      </c>
      <c r="E252" s="14">
        <v>1305469694.55</v>
      </c>
      <c r="F252" s="14">
        <v>29</v>
      </c>
      <c r="G252" s="14">
        <v>903690885.77999997</v>
      </c>
      <c r="H252" s="14">
        <v>13</v>
      </c>
      <c r="I252" s="14">
        <v>608560596.03999996</v>
      </c>
      <c r="J252" s="14">
        <v>2</v>
      </c>
      <c r="K252" s="14">
        <v>25153684</v>
      </c>
      <c r="L252" s="14">
        <v>18</v>
      </c>
      <c r="M252" s="14">
        <v>1169590772.6100001</v>
      </c>
      <c r="N252" s="14">
        <v>90</v>
      </c>
      <c r="O252" s="15">
        <v>4357162815.9799995</v>
      </c>
    </row>
    <row r="253" spans="1:15" x14ac:dyDescent="0.3">
      <c r="A253" s="12" t="s">
        <v>121</v>
      </c>
      <c r="B253" s="13">
        <v>60</v>
      </c>
      <c r="C253" s="13">
        <v>5460037626.1700001</v>
      </c>
      <c r="D253" s="14">
        <v>51</v>
      </c>
      <c r="E253" s="14">
        <v>3025708324</v>
      </c>
      <c r="F253" s="14">
        <v>67</v>
      </c>
      <c r="G253" s="14">
        <v>4829047557.7600002</v>
      </c>
      <c r="H253" s="14">
        <v>45</v>
      </c>
      <c r="I253" s="14">
        <v>2686795370.1600003</v>
      </c>
      <c r="J253" s="14">
        <v>10</v>
      </c>
      <c r="K253" s="14">
        <v>559952567</v>
      </c>
      <c r="L253" s="14">
        <v>65</v>
      </c>
      <c r="M253" s="14">
        <v>4179567989</v>
      </c>
      <c r="N253" s="14">
        <v>298</v>
      </c>
      <c r="O253" s="15">
        <v>20741109434.09</v>
      </c>
    </row>
    <row r="254" spans="1:15" x14ac:dyDescent="0.3">
      <c r="A254" s="12" t="s">
        <v>122</v>
      </c>
      <c r="B254" s="13">
        <v>67</v>
      </c>
      <c r="C254" s="13">
        <v>3846611467</v>
      </c>
      <c r="D254" s="14">
        <v>91</v>
      </c>
      <c r="E254" s="14">
        <v>6816287263.6400003</v>
      </c>
      <c r="F254" s="14">
        <v>91</v>
      </c>
      <c r="G254" s="14">
        <v>5296952696.25</v>
      </c>
      <c r="H254" s="14">
        <v>60</v>
      </c>
      <c r="I254" s="14">
        <v>2272241041</v>
      </c>
      <c r="J254" s="14">
        <v>21</v>
      </c>
      <c r="K254" s="14">
        <v>967062705</v>
      </c>
      <c r="L254" s="14">
        <v>101</v>
      </c>
      <c r="M254" s="14">
        <v>3882268820.25</v>
      </c>
      <c r="N254" s="14">
        <v>431</v>
      </c>
      <c r="O254" s="15">
        <v>23081423993.139999</v>
      </c>
    </row>
    <row r="255" spans="1:15" x14ac:dyDescent="0.3">
      <c r="A255" s="12" t="s">
        <v>123</v>
      </c>
      <c r="B255" s="13">
        <v>36</v>
      </c>
      <c r="C255" s="13">
        <v>2078780979</v>
      </c>
      <c r="D255" s="14">
        <v>42</v>
      </c>
      <c r="E255" s="14">
        <v>2386489855.96</v>
      </c>
      <c r="F255" s="14">
        <v>40</v>
      </c>
      <c r="G255" s="14">
        <v>1657586484</v>
      </c>
      <c r="H255" s="14">
        <v>58</v>
      </c>
      <c r="I255" s="14">
        <v>2195558652.3699999</v>
      </c>
      <c r="J255" s="14">
        <v>1</v>
      </c>
      <c r="K255" s="14">
        <v>5455639</v>
      </c>
      <c r="L255" s="14">
        <v>8</v>
      </c>
      <c r="M255" s="14">
        <v>468452409</v>
      </c>
      <c r="N255" s="14">
        <v>185</v>
      </c>
      <c r="O255" s="15">
        <v>8792324019.3299999</v>
      </c>
    </row>
    <row r="256" spans="1:15" x14ac:dyDescent="0.3">
      <c r="A256" s="4" t="s">
        <v>124</v>
      </c>
      <c r="B256" s="5">
        <v>360</v>
      </c>
      <c r="C256" s="5">
        <v>22478406350.560001</v>
      </c>
      <c r="D256" s="6">
        <v>416</v>
      </c>
      <c r="E256" s="6">
        <v>23985810710.489998</v>
      </c>
      <c r="F256" s="6">
        <v>449</v>
      </c>
      <c r="G256" s="6">
        <v>24917516846.349998</v>
      </c>
      <c r="H256" s="6">
        <v>1243</v>
      </c>
      <c r="I256" s="6">
        <v>40046206485.040009</v>
      </c>
      <c r="J256" s="6">
        <v>129</v>
      </c>
      <c r="K256" s="6">
        <v>7350397982.9700003</v>
      </c>
      <c r="L256" s="6">
        <v>724</v>
      </c>
      <c r="M256" s="6">
        <v>36968646116.269989</v>
      </c>
      <c r="N256" s="6">
        <v>3321</v>
      </c>
      <c r="O256" s="7">
        <v>155746984491.68002</v>
      </c>
    </row>
    <row r="257" spans="1:15" x14ac:dyDescent="0.3">
      <c r="A257" s="8" t="s">
        <v>125</v>
      </c>
      <c r="B257" s="9">
        <v>105</v>
      </c>
      <c r="C257" s="9">
        <v>5851074455.5299997</v>
      </c>
      <c r="D257" s="10">
        <v>100</v>
      </c>
      <c r="E257" s="10">
        <v>5607385127</v>
      </c>
      <c r="F257" s="10">
        <v>132</v>
      </c>
      <c r="G257" s="10">
        <v>7108047955.4799995</v>
      </c>
      <c r="H257" s="10">
        <v>973</v>
      </c>
      <c r="I257" s="10">
        <v>25817608478.18</v>
      </c>
      <c r="J257" s="10">
        <v>32</v>
      </c>
      <c r="K257" s="10">
        <v>1371189782</v>
      </c>
      <c r="L257" s="10">
        <v>142</v>
      </c>
      <c r="M257" s="10">
        <v>7642894978.75</v>
      </c>
      <c r="N257" s="10">
        <v>1484</v>
      </c>
      <c r="O257" s="11">
        <v>53398200776.940002</v>
      </c>
    </row>
    <row r="258" spans="1:15" x14ac:dyDescent="0.3">
      <c r="A258" s="12" t="s">
        <v>126</v>
      </c>
      <c r="B258" s="13">
        <v>41</v>
      </c>
      <c r="C258" s="13">
        <v>1870161838.0999999</v>
      </c>
      <c r="D258" s="14">
        <v>39</v>
      </c>
      <c r="E258" s="14">
        <v>2159272678</v>
      </c>
      <c r="F258" s="14">
        <v>51</v>
      </c>
      <c r="G258" s="14">
        <v>2635892467</v>
      </c>
      <c r="H258" s="14">
        <v>852</v>
      </c>
      <c r="I258" s="14">
        <v>19720754357</v>
      </c>
      <c r="J258" s="14">
        <v>9</v>
      </c>
      <c r="K258" s="14">
        <v>370660241</v>
      </c>
      <c r="L258" s="14">
        <v>66</v>
      </c>
      <c r="M258" s="14">
        <v>3276266576</v>
      </c>
      <c r="N258" s="14">
        <v>1058</v>
      </c>
      <c r="O258" s="15">
        <v>30033008157.099998</v>
      </c>
    </row>
    <row r="259" spans="1:15" x14ac:dyDescent="0.3">
      <c r="A259" s="12" t="s">
        <v>127</v>
      </c>
      <c r="B259" s="13">
        <v>40</v>
      </c>
      <c r="C259" s="13">
        <v>2006795769.4299998</v>
      </c>
      <c r="D259" s="14">
        <v>40</v>
      </c>
      <c r="E259" s="14">
        <v>2554478994</v>
      </c>
      <c r="F259" s="14">
        <v>50</v>
      </c>
      <c r="G259" s="14">
        <v>2859883896</v>
      </c>
      <c r="H259" s="14">
        <v>71</v>
      </c>
      <c r="I259" s="14">
        <v>3753886105.1999998</v>
      </c>
      <c r="J259" s="14">
        <v>16</v>
      </c>
      <c r="K259" s="14">
        <v>399273439</v>
      </c>
      <c r="L259" s="14">
        <v>51</v>
      </c>
      <c r="M259" s="14">
        <v>3122570894.8400002</v>
      </c>
      <c r="N259" s="14">
        <v>268</v>
      </c>
      <c r="O259" s="15">
        <v>14696889098.470001</v>
      </c>
    </row>
    <row r="260" spans="1:15" x14ac:dyDescent="0.3">
      <c r="A260" s="12" t="s">
        <v>128</v>
      </c>
      <c r="B260" s="13">
        <v>24</v>
      </c>
      <c r="C260" s="13">
        <v>1974116848</v>
      </c>
      <c r="D260" s="14">
        <v>21</v>
      </c>
      <c r="E260" s="14">
        <v>893633455</v>
      </c>
      <c r="F260" s="14">
        <v>31</v>
      </c>
      <c r="G260" s="14">
        <v>1612271592.48</v>
      </c>
      <c r="H260" s="14">
        <v>50</v>
      </c>
      <c r="I260" s="14">
        <v>2342968015.98</v>
      </c>
      <c r="J260" s="14">
        <v>7</v>
      </c>
      <c r="K260" s="14">
        <v>601256102</v>
      </c>
      <c r="L260" s="14">
        <v>25</v>
      </c>
      <c r="M260" s="14">
        <v>1244057507.9099998</v>
      </c>
      <c r="N260" s="14">
        <v>158</v>
      </c>
      <c r="O260" s="15">
        <v>8668303521.3699989</v>
      </c>
    </row>
    <row r="261" spans="1:15" x14ac:dyDescent="0.3">
      <c r="A261" s="8" t="s">
        <v>129</v>
      </c>
      <c r="B261" s="9">
        <v>52</v>
      </c>
      <c r="C261" s="9">
        <v>5667856228.4400005</v>
      </c>
      <c r="D261" s="10">
        <v>94</v>
      </c>
      <c r="E261" s="10">
        <v>7461045972</v>
      </c>
      <c r="F261" s="10">
        <v>87</v>
      </c>
      <c r="G261" s="10">
        <v>5642553902</v>
      </c>
      <c r="H261" s="10">
        <v>55</v>
      </c>
      <c r="I261" s="10">
        <v>4292294146.3400002</v>
      </c>
      <c r="J261" s="10">
        <v>24</v>
      </c>
      <c r="K261" s="10">
        <v>3206149697</v>
      </c>
      <c r="L261" s="10">
        <v>100</v>
      </c>
      <c r="M261" s="10">
        <v>7045671783.5799999</v>
      </c>
      <c r="N261" s="10">
        <v>412</v>
      </c>
      <c r="O261" s="11">
        <v>33315571729.360004</v>
      </c>
    </row>
    <row r="262" spans="1:15" x14ac:dyDescent="0.3">
      <c r="A262" s="12" t="s">
        <v>130</v>
      </c>
      <c r="B262" s="13">
        <v>43</v>
      </c>
      <c r="C262" s="13">
        <v>5128654219.4400005</v>
      </c>
      <c r="D262" s="14">
        <v>79</v>
      </c>
      <c r="E262" s="14">
        <v>6628245199</v>
      </c>
      <c r="F262" s="14">
        <v>61</v>
      </c>
      <c r="G262" s="14">
        <v>4056690599</v>
      </c>
      <c r="H262" s="14">
        <v>42</v>
      </c>
      <c r="I262" s="14">
        <v>3330650174.3400002</v>
      </c>
      <c r="J262" s="14">
        <v>22</v>
      </c>
      <c r="K262" s="14">
        <v>3166172889</v>
      </c>
      <c r="L262" s="14">
        <v>81</v>
      </c>
      <c r="M262" s="14">
        <v>6041946301.5799999</v>
      </c>
      <c r="N262" s="14">
        <v>328</v>
      </c>
      <c r="O262" s="15">
        <v>28352359382.360004</v>
      </c>
    </row>
    <row r="263" spans="1:15" x14ac:dyDescent="0.3">
      <c r="A263" s="12" t="s">
        <v>131</v>
      </c>
      <c r="B263" s="13">
        <v>9</v>
      </c>
      <c r="C263" s="13">
        <v>539202009</v>
      </c>
      <c r="D263" s="14">
        <v>15</v>
      </c>
      <c r="E263" s="14">
        <v>832800773</v>
      </c>
      <c r="F263" s="14">
        <v>26</v>
      </c>
      <c r="G263" s="14">
        <v>1585863303</v>
      </c>
      <c r="H263" s="14">
        <v>13</v>
      </c>
      <c r="I263" s="14">
        <v>961643972</v>
      </c>
      <c r="J263" s="14">
        <v>2</v>
      </c>
      <c r="K263" s="14">
        <v>39976808</v>
      </c>
      <c r="L263" s="14">
        <v>19</v>
      </c>
      <c r="M263" s="14">
        <v>1003725482</v>
      </c>
      <c r="N263" s="14">
        <v>84</v>
      </c>
      <c r="O263" s="15">
        <v>4963212347</v>
      </c>
    </row>
    <row r="264" spans="1:15" x14ac:dyDescent="0.3">
      <c r="A264" s="8" t="s">
        <v>132</v>
      </c>
      <c r="B264" s="9">
        <v>203</v>
      </c>
      <c r="C264" s="9">
        <v>10959475666.589998</v>
      </c>
      <c r="D264" s="10">
        <v>222</v>
      </c>
      <c r="E264" s="10">
        <v>10917379611.49</v>
      </c>
      <c r="F264" s="10">
        <v>230</v>
      </c>
      <c r="G264" s="10">
        <v>12166914988.870001</v>
      </c>
      <c r="H264" s="10">
        <v>215</v>
      </c>
      <c r="I264" s="10">
        <v>9936303860.5200005</v>
      </c>
      <c r="J264" s="10">
        <v>73</v>
      </c>
      <c r="K264" s="10">
        <v>2773058503.9700003</v>
      </c>
      <c r="L264" s="10">
        <v>482</v>
      </c>
      <c r="M264" s="10">
        <v>22280079353.939999</v>
      </c>
      <c r="N264" s="10">
        <v>1425</v>
      </c>
      <c r="O264" s="11">
        <v>69033211985.380005</v>
      </c>
    </row>
    <row r="265" spans="1:15" x14ac:dyDescent="0.3">
      <c r="A265" s="12" t="s">
        <v>133</v>
      </c>
      <c r="B265" s="13">
        <v>83</v>
      </c>
      <c r="C265" s="13">
        <v>4091045273.0299997</v>
      </c>
      <c r="D265" s="14">
        <v>109</v>
      </c>
      <c r="E265" s="14">
        <v>5771429341</v>
      </c>
      <c r="F265" s="14">
        <v>88</v>
      </c>
      <c r="G265" s="14">
        <v>4389826354</v>
      </c>
      <c r="H265" s="14">
        <v>120</v>
      </c>
      <c r="I265" s="14">
        <v>5283701564</v>
      </c>
      <c r="J265" s="14">
        <v>34</v>
      </c>
      <c r="K265" s="14">
        <v>1100473324</v>
      </c>
      <c r="L265" s="14">
        <v>193</v>
      </c>
      <c r="M265" s="14">
        <v>9311565097.2399998</v>
      </c>
      <c r="N265" s="14">
        <v>627</v>
      </c>
      <c r="O265" s="15">
        <v>29948040953.27</v>
      </c>
    </row>
    <row r="266" spans="1:15" x14ac:dyDescent="0.3">
      <c r="A266" s="12" t="s">
        <v>134</v>
      </c>
      <c r="B266" s="13">
        <v>77</v>
      </c>
      <c r="C266" s="13">
        <v>4048038825</v>
      </c>
      <c r="D266" s="14">
        <v>90</v>
      </c>
      <c r="E266" s="14">
        <v>4371481724.7600002</v>
      </c>
      <c r="F266" s="14">
        <v>103</v>
      </c>
      <c r="G266" s="14">
        <v>5103742623</v>
      </c>
      <c r="H266" s="14">
        <v>71</v>
      </c>
      <c r="I266" s="14">
        <v>3731251346.5200005</v>
      </c>
      <c r="J266" s="14">
        <v>25</v>
      </c>
      <c r="K266" s="14">
        <v>1311711885.97</v>
      </c>
      <c r="L266" s="14">
        <v>236</v>
      </c>
      <c r="M266" s="14">
        <v>10700876721.08</v>
      </c>
      <c r="N266" s="14">
        <v>602</v>
      </c>
      <c r="O266" s="15">
        <v>29267103126.330002</v>
      </c>
    </row>
    <row r="267" spans="1:15" x14ac:dyDescent="0.3">
      <c r="A267" s="12" t="s">
        <v>135</v>
      </c>
      <c r="B267" s="13">
        <v>43</v>
      </c>
      <c r="C267" s="13">
        <v>2820391568.5599999</v>
      </c>
      <c r="D267" s="14">
        <v>23</v>
      </c>
      <c r="E267" s="14">
        <v>774468545.7299999</v>
      </c>
      <c r="F267" s="14">
        <v>39</v>
      </c>
      <c r="G267" s="14">
        <v>2673346011.8699999</v>
      </c>
      <c r="H267" s="14">
        <v>24</v>
      </c>
      <c r="I267" s="14">
        <v>921350950</v>
      </c>
      <c r="J267" s="14">
        <v>14</v>
      </c>
      <c r="K267" s="14">
        <v>360873294</v>
      </c>
      <c r="L267" s="14">
        <v>53</v>
      </c>
      <c r="M267" s="14">
        <v>2267637535.6200004</v>
      </c>
      <c r="N267" s="14">
        <v>196</v>
      </c>
      <c r="O267" s="15">
        <v>9818067905.7800007</v>
      </c>
    </row>
    <row r="268" spans="1:15" x14ac:dyDescent="0.3">
      <c r="A268" s="4" t="s">
        <v>136</v>
      </c>
      <c r="B268" s="5">
        <v>422</v>
      </c>
      <c r="C268" s="5">
        <v>33689554909.499996</v>
      </c>
      <c r="D268" s="6">
        <v>263</v>
      </c>
      <c r="E268" s="6">
        <v>12459401239.200001</v>
      </c>
      <c r="F268" s="6">
        <v>417</v>
      </c>
      <c r="G268" s="6">
        <v>28344594444.57</v>
      </c>
      <c r="H268" s="6">
        <v>201</v>
      </c>
      <c r="I268" s="6">
        <v>9030829227.7600002</v>
      </c>
      <c r="J268" s="6">
        <v>106</v>
      </c>
      <c r="K268" s="6">
        <v>4715180087.1599998</v>
      </c>
      <c r="L268" s="6">
        <v>335</v>
      </c>
      <c r="M268" s="6">
        <v>19709203211.900002</v>
      </c>
      <c r="N268" s="6">
        <v>1744</v>
      </c>
      <c r="O268" s="7">
        <v>107948763120.09</v>
      </c>
    </row>
    <row r="269" spans="1:15" x14ac:dyDescent="0.3">
      <c r="A269" s="8" t="s">
        <v>137</v>
      </c>
      <c r="B269" s="9">
        <v>211</v>
      </c>
      <c r="C269" s="9">
        <v>17702854261</v>
      </c>
      <c r="D269" s="10">
        <v>101</v>
      </c>
      <c r="E269" s="10">
        <v>5073704137.0100002</v>
      </c>
      <c r="F269" s="10">
        <v>201</v>
      </c>
      <c r="G269" s="10">
        <v>15481865251</v>
      </c>
      <c r="H269" s="10">
        <v>90</v>
      </c>
      <c r="I269" s="10">
        <v>3959750521.7600002</v>
      </c>
      <c r="J269" s="10">
        <v>47</v>
      </c>
      <c r="K269" s="10">
        <v>2140683610</v>
      </c>
      <c r="L269" s="10">
        <v>142</v>
      </c>
      <c r="M269" s="10">
        <v>6439975355</v>
      </c>
      <c r="N269" s="10">
        <v>792</v>
      </c>
      <c r="O269" s="11">
        <v>50798833135.770004</v>
      </c>
    </row>
    <row r="270" spans="1:15" x14ac:dyDescent="0.3">
      <c r="A270" s="12" t="s">
        <v>138</v>
      </c>
      <c r="B270" s="13">
        <v>66</v>
      </c>
      <c r="C270" s="13">
        <v>4211385030</v>
      </c>
      <c r="D270" s="14">
        <v>53</v>
      </c>
      <c r="E270" s="14">
        <v>2248487614.0100002</v>
      </c>
      <c r="F270" s="14">
        <v>74</v>
      </c>
      <c r="G270" s="14">
        <v>4148328261</v>
      </c>
      <c r="H270" s="14">
        <v>49</v>
      </c>
      <c r="I270" s="14">
        <v>1973818978.76</v>
      </c>
      <c r="J270" s="14">
        <v>27</v>
      </c>
      <c r="K270" s="14">
        <v>993421945</v>
      </c>
      <c r="L270" s="14">
        <v>80</v>
      </c>
      <c r="M270" s="14">
        <v>3048154912</v>
      </c>
      <c r="N270" s="14">
        <v>349</v>
      </c>
      <c r="O270" s="15">
        <v>16623596740.77</v>
      </c>
    </row>
    <row r="271" spans="1:15" x14ac:dyDescent="0.3">
      <c r="A271" s="12" t="s">
        <v>139</v>
      </c>
      <c r="B271" s="13">
        <v>53</v>
      </c>
      <c r="C271" s="13">
        <v>3124891699</v>
      </c>
      <c r="D271" s="14">
        <v>39</v>
      </c>
      <c r="E271" s="14">
        <v>1932764423</v>
      </c>
      <c r="F271" s="14">
        <v>54</v>
      </c>
      <c r="G271" s="14">
        <v>2893649447</v>
      </c>
      <c r="H271" s="14">
        <v>34</v>
      </c>
      <c r="I271" s="14">
        <v>1415718721</v>
      </c>
      <c r="J271" s="14">
        <v>18</v>
      </c>
      <c r="K271" s="14">
        <v>1050377265</v>
      </c>
      <c r="L271" s="14">
        <v>53</v>
      </c>
      <c r="M271" s="14">
        <v>2176728703</v>
      </c>
      <c r="N271" s="14">
        <v>251</v>
      </c>
      <c r="O271" s="15">
        <v>12594130258</v>
      </c>
    </row>
    <row r="272" spans="1:15" x14ac:dyDescent="0.3">
      <c r="A272" s="12" t="s">
        <v>140</v>
      </c>
      <c r="B272" s="13">
        <v>92</v>
      </c>
      <c r="C272" s="13">
        <v>10366577532</v>
      </c>
      <c r="D272" s="14">
        <v>9</v>
      </c>
      <c r="E272" s="14">
        <v>892452100</v>
      </c>
      <c r="F272" s="14">
        <v>73</v>
      </c>
      <c r="G272" s="14">
        <v>8439887543</v>
      </c>
      <c r="H272" s="14">
        <v>7</v>
      </c>
      <c r="I272" s="14">
        <v>570212822</v>
      </c>
      <c r="J272" s="14">
        <v>2</v>
      </c>
      <c r="K272" s="14">
        <v>96884400</v>
      </c>
      <c r="L272" s="14">
        <v>9</v>
      </c>
      <c r="M272" s="14">
        <v>1215091740</v>
      </c>
      <c r="N272" s="14">
        <v>192</v>
      </c>
      <c r="O272" s="15">
        <v>21581106137</v>
      </c>
    </row>
    <row r="273" spans="1:15" x14ac:dyDescent="0.3">
      <c r="A273" s="8" t="s">
        <v>141</v>
      </c>
      <c r="B273" s="9">
        <v>211</v>
      </c>
      <c r="C273" s="9">
        <v>15986700648.5</v>
      </c>
      <c r="D273" s="10">
        <v>162</v>
      </c>
      <c r="E273" s="10">
        <v>7385697102.1899996</v>
      </c>
      <c r="F273" s="10">
        <v>216</v>
      </c>
      <c r="G273" s="10">
        <v>12862729193.57</v>
      </c>
      <c r="H273" s="10">
        <v>111</v>
      </c>
      <c r="I273" s="10">
        <v>5071078706</v>
      </c>
      <c r="J273" s="10">
        <v>59</v>
      </c>
      <c r="K273" s="10">
        <v>2574496477.1599998</v>
      </c>
      <c r="L273" s="10">
        <v>193</v>
      </c>
      <c r="M273" s="10">
        <v>13269227856.9</v>
      </c>
      <c r="N273" s="10">
        <v>952</v>
      </c>
      <c r="O273" s="11">
        <v>57149929984.32</v>
      </c>
    </row>
    <row r="274" spans="1:15" x14ac:dyDescent="0.3">
      <c r="A274" s="12" t="s">
        <v>142</v>
      </c>
      <c r="B274" s="13">
        <v>118</v>
      </c>
      <c r="C274" s="13">
        <v>11277200000.290001</v>
      </c>
      <c r="D274" s="14">
        <v>51</v>
      </c>
      <c r="E274" s="14">
        <v>2946688293.5500002</v>
      </c>
      <c r="F274" s="14">
        <v>88</v>
      </c>
      <c r="G274" s="14">
        <v>6534403368</v>
      </c>
      <c r="H274" s="14">
        <v>34</v>
      </c>
      <c r="I274" s="14">
        <v>1522545697</v>
      </c>
      <c r="J274" s="14">
        <v>21</v>
      </c>
      <c r="K274" s="14">
        <v>952268722.15999997</v>
      </c>
      <c r="L274" s="14">
        <v>66</v>
      </c>
      <c r="M274" s="14">
        <v>4301040572.1599998</v>
      </c>
      <c r="N274" s="14">
        <v>378</v>
      </c>
      <c r="O274" s="15">
        <v>27534146653.16</v>
      </c>
    </row>
    <row r="275" spans="1:15" x14ac:dyDescent="0.3">
      <c r="A275" s="12" t="s">
        <v>143</v>
      </c>
      <c r="B275" s="13">
        <v>49</v>
      </c>
      <c r="C275" s="13">
        <v>2860484260.21</v>
      </c>
      <c r="D275" s="14">
        <v>40</v>
      </c>
      <c r="E275" s="14">
        <v>2368490350</v>
      </c>
      <c r="F275" s="14">
        <v>53</v>
      </c>
      <c r="G275" s="14">
        <v>2891739997</v>
      </c>
      <c r="H275" s="14">
        <v>41</v>
      </c>
      <c r="I275" s="14">
        <v>2790851974</v>
      </c>
      <c r="J275" s="14">
        <v>24</v>
      </c>
      <c r="K275" s="14">
        <v>1234480398</v>
      </c>
      <c r="L275" s="14">
        <v>83</v>
      </c>
      <c r="M275" s="14">
        <v>5364184306.7399998</v>
      </c>
      <c r="N275" s="14">
        <v>290</v>
      </c>
      <c r="O275" s="15">
        <v>17510231285.949997</v>
      </c>
    </row>
    <row r="276" spans="1:15" x14ac:dyDescent="0.3">
      <c r="A276" s="12" t="s">
        <v>144</v>
      </c>
      <c r="B276" s="13">
        <v>44</v>
      </c>
      <c r="C276" s="13">
        <v>1849016388</v>
      </c>
      <c r="D276" s="14">
        <v>71</v>
      </c>
      <c r="E276" s="14">
        <v>2070518458.6400003</v>
      </c>
      <c r="F276" s="14">
        <v>75</v>
      </c>
      <c r="G276" s="14">
        <v>3436585828.5700002</v>
      </c>
      <c r="H276" s="14">
        <v>36</v>
      </c>
      <c r="I276" s="14">
        <v>757681035</v>
      </c>
      <c r="J276" s="14">
        <v>14</v>
      </c>
      <c r="K276" s="14">
        <v>387747357</v>
      </c>
      <c r="L276" s="14">
        <v>44</v>
      </c>
      <c r="M276" s="14">
        <v>3604002978</v>
      </c>
      <c r="N276" s="14">
        <v>284</v>
      </c>
      <c r="O276" s="15">
        <v>12105552045.209999</v>
      </c>
    </row>
    <row r="277" spans="1:15" x14ac:dyDescent="0.3">
      <c r="A277" s="4" t="s">
        <v>145</v>
      </c>
      <c r="B277" s="5">
        <v>2624</v>
      </c>
      <c r="C277" s="5">
        <v>240432143951.09003</v>
      </c>
      <c r="D277" s="6">
        <v>2521</v>
      </c>
      <c r="E277" s="6">
        <v>211856133458.72006</v>
      </c>
      <c r="F277" s="6">
        <v>4548</v>
      </c>
      <c r="G277" s="6">
        <v>535085613200.86987</v>
      </c>
      <c r="H277" s="6">
        <v>3038</v>
      </c>
      <c r="I277" s="6">
        <v>175079507801.16003</v>
      </c>
      <c r="J277" s="6">
        <v>770</v>
      </c>
      <c r="K277" s="6">
        <v>53901362242.07</v>
      </c>
      <c r="L277" s="6">
        <v>4310</v>
      </c>
      <c r="M277" s="6">
        <v>434946534295.5199</v>
      </c>
      <c r="N277" s="6">
        <v>17811</v>
      </c>
      <c r="O277" s="7">
        <v>1651301294949.4309</v>
      </c>
    </row>
  </sheetData>
  <mergeCells count="19">
    <mergeCell ref="A1:O1"/>
    <mergeCell ref="A2:A3"/>
    <mergeCell ref="B2:C2"/>
    <mergeCell ref="D2:E2"/>
    <mergeCell ref="F2:G2"/>
    <mergeCell ref="H2:I2"/>
    <mergeCell ref="J2:K2"/>
    <mergeCell ref="L2:M2"/>
    <mergeCell ref="N2:O2"/>
    <mergeCell ref="A139:O139"/>
    <mergeCell ref="A140:A142"/>
    <mergeCell ref="B140:O140"/>
    <mergeCell ref="B141:C141"/>
    <mergeCell ref="D141:E141"/>
    <mergeCell ref="F141:G141"/>
    <mergeCell ref="H141:I141"/>
    <mergeCell ref="J141:K141"/>
    <mergeCell ref="L141:M141"/>
    <mergeCell ref="N141:O141"/>
  </mergeCells>
  <printOptions horizontalCentered="1"/>
  <pageMargins left="0.11811023622047245" right="0.11811023622047245" top="0.15748031496062992" bottom="0.15748031496062992" header="0.31496062992125984" footer="0.31496062992125984"/>
  <pageSetup scale="55" fitToHeight="0" orientation="portrait" horizontalDpi="360" verticalDpi="360" r:id="rId1"/>
  <rowBreaks count="2" manualBreakCount="2">
    <brk id="88" max="14" man="1"/>
    <brk id="13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REKAP</vt:lpstr>
      <vt:lpstr>REKAP!Print_Area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2026-04-28T04:04:10Z</dcterms:created>
  <dcterms:modified xsi:type="dcterms:W3CDTF">2026-04-28T04:24:30Z</dcterms:modified>
</cp:coreProperties>
</file>